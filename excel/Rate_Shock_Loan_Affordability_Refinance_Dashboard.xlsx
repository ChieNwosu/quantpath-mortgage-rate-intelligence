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7a16a206701cdd1/Documents/Excel Projects/"/>
    </mc:Choice>
  </mc:AlternateContent>
  <xr:revisionPtr revIDLastSave="8" documentId="8_{0B096BAB-4EFA-439D-8C0B-0DC281BCA68E}" xr6:coauthVersionLast="47" xr6:coauthVersionMax="47" xr10:uidLastSave="{CD5B799B-C7F1-4A79-A462-7F5A0359C059}"/>
  <bookViews>
    <workbookView xWindow="-120" yWindow="-120" windowWidth="24240" windowHeight="13020" firstSheet="1" activeTab="1" xr2:uid="{00000000-000D-0000-FFFF-FFFF00000000}"/>
  </bookViews>
  <sheets>
    <sheet name="Project_Map" sheetId="1" r:id="rId1"/>
    <sheet name="Rate_Data" sheetId="2" r:id="rId2"/>
    <sheet name="Assumptions" sheetId="3" r:id="rId3"/>
    <sheet name="Rate_Shock_Model" sheetId="4" r:id="rId4"/>
    <sheet name="Amortization_Schedule" sheetId="5" r:id="rId5"/>
    <sheet name="Refinance_Analysis" sheetId="6" r:id="rId6"/>
    <sheet name="Dashboard" sheetId="7" r:id="rId7"/>
  </sheets>
  <definedNames>
    <definedName name="Amort_TotalInterest">Amortization_Schedule!$I$5</definedName>
    <definedName name="Amort_TotalPayments">Amortization_Schedule!$I$3</definedName>
    <definedName name="Amort_TotalPrincipal">Amortization_Schedule!$I$4</definedName>
    <definedName name="Assump_BaseRate">Assumptions!$B$9</definedName>
    <definedName name="Assump_Budget">Assumptions!$B$10</definedName>
    <definedName name="Assump_ClosingCosts">Assumptions!$B$18</definedName>
    <definedName name="Assump_CurrRate">Assumptions!$B$15</definedName>
    <definedName name="Assump_DPPct">Assumptions!$B$5</definedName>
    <definedName name="Assump_HoldPeriod">Assumptions!$B$19</definedName>
    <definedName name="Assump_HomePrice">Assumptions!$B$4</definedName>
    <definedName name="Assump_LoanAmt">Assumptions!$B$6</definedName>
    <definedName name="Assump_PropRate">Assumptions!$B$16</definedName>
    <definedName name="Assump_RemBal">Assumptions!$B$14</definedName>
    <definedName name="Assump_RemTerm">Assumptions!$B$17</definedName>
    <definedName name="Assump_TermMos">Assumptions!$B$8</definedName>
    <definedName name="Assump_TermYrs">Assumptions!$B$7</definedName>
    <definedName name="ExternalData_1" localSheetId="1" hidden="1">Rate_Data!$A$1:$B$2878</definedName>
    <definedName name="LatestRate">Rate_Data!$H$2</definedName>
    <definedName name="Refi_BreakEvenMos">Refinance_Analysis!$B$16</definedName>
    <definedName name="Refi_CurrPayment">Refinance_Analysis!$B$13</definedName>
    <definedName name="Refi_DecisionFlag">Refinance_Analysis!$A$22</definedName>
    <definedName name="Refi_MonthlySavings">Refinance_Analysis!$B$15</definedName>
    <definedName name="Refi_NewPayment">Refinance_Analysis!$B$14</definedName>
    <definedName name="RSM_Affordable">Rate_Shock_Model!$H$11:$H$16</definedName>
    <definedName name="RSM_BaseAffordable">Rate_Shock_Model!$H$13</definedName>
    <definedName name="RSM_BasePayment">Rate_Shock_Model!$D$13</definedName>
    <definedName name="RSM_BaseTotalInterest">Rate_Shock_Model!$F$13</definedName>
    <definedName name="RSM_Labels">Rate_Shock_Model!$A$11:$A$16</definedName>
    <definedName name="RSM_Payments">Rate_Shock_Model!$D$11:$D$16</definedName>
    <definedName name="RSM_TotalInterest">Rate_Shock_Model!$F$11:$F$16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6" l="1"/>
  <c r="M8" i="7" l="1"/>
  <c r="A8" i="7"/>
  <c r="AA7" i="7"/>
  <c r="T7" i="7"/>
  <c r="AA6" i="7"/>
  <c r="T6" i="7"/>
  <c r="AA5" i="7"/>
  <c r="T5" i="7"/>
  <c r="AA4" i="7"/>
  <c r="Y4" i="7"/>
  <c r="T4" i="7"/>
  <c r="J4" i="7"/>
  <c r="AA3" i="7"/>
  <c r="T3" i="7"/>
  <c r="AA2" i="7"/>
  <c r="T2" i="7"/>
  <c r="B17" i="6"/>
  <c r="B14" i="6"/>
  <c r="B13" i="6"/>
  <c r="B15" i="6" s="1"/>
  <c r="B18" i="6" s="1"/>
  <c r="B19" i="6" s="1"/>
  <c r="B8" i="6"/>
  <c r="B7" i="6"/>
  <c r="B6" i="6"/>
  <c r="B5" i="6"/>
  <c r="B4" i="6"/>
  <c r="B3" i="6"/>
  <c r="A12" i="5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B10" i="5"/>
  <c r="A10" i="5"/>
  <c r="A11" i="5" s="1"/>
  <c r="B3" i="5"/>
  <c r="E13" i="4"/>
  <c r="B6" i="4"/>
  <c r="B7" i="3"/>
  <c r="B8" i="3" s="1"/>
  <c r="B6" i="5" s="1"/>
  <c r="B6" i="3"/>
  <c r="E2878" i="2"/>
  <c r="D2878" i="2"/>
  <c r="C2878" i="2"/>
  <c r="E2877" i="2"/>
  <c r="D2877" i="2"/>
  <c r="C2877" i="2"/>
  <c r="E2876" i="2"/>
  <c r="D2876" i="2"/>
  <c r="C2876" i="2"/>
  <c r="E2875" i="2"/>
  <c r="D2875" i="2"/>
  <c r="C2875" i="2"/>
  <c r="E2874" i="2"/>
  <c r="D2874" i="2"/>
  <c r="C2874" i="2"/>
  <c r="E2873" i="2"/>
  <c r="D2873" i="2"/>
  <c r="C2873" i="2"/>
  <c r="E2872" i="2"/>
  <c r="D2872" i="2"/>
  <c r="C2872" i="2"/>
  <c r="E2871" i="2"/>
  <c r="D2871" i="2"/>
  <c r="C2871" i="2"/>
  <c r="E2870" i="2"/>
  <c r="D2870" i="2"/>
  <c r="C2870" i="2"/>
  <c r="E2869" i="2"/>
  <c r="D2869" i="2"/>
  <c r="C2869" i="2"/>
  <c r="E2868" i="2"/>
  <c r="D2868" i="2"/>
  <c r="C2868" i="2"/>
  <c r="E2867" i="2"/>
  <c r="D2867" i="2"/>
  <c r="C2867" i="2"/>
  <c r="E2866" i="2"/>
  <c r="D2866" i="2"/>
  <c r="C2866" i="2"/>
  <c r="E2865" i="2"/>
  <c r="D2865" i="2"/>
  <c r="C2865" i="2"/>
  <c r="E2864" i="2"/>
  <c r="D2864" i="2"/>
  <c r="C2864" i="2"/>
  <c r="E2863" i="2"/>
  <c r="D2863" i="2"/>
  <c r="C2863" i="2"/>
  <c r="E2862" i="2"/>
  <c r="D2862" i="2"/>
  <c r="C2862" i="2"/>
  <c r="E2861" i="2"/>
  <c r="D2861" i="2"/>
  <c r="C2861" i="2"/>
  <c r="E2860" i="2"/>
  <c r="D2860" i="2"/>
  <c r="C2860" i="2"/>
  <c r="E2859" i="2"/>
  <c r="D2859" i="2"/>
  <c r="C2859" i="2"/>
  <c r="E2858" i="2"/>
  <c r="D2858" i="2"/>
  <c r="C2858" i="2"/>
  <c r="E2857" i="2"/>
  <c r="D2857" i="2"/>
  <c r="C2857" i="2"/>
  <c r="E2856" i="2"/>
  <c r="D2856" i="2"/>
  <c r="C2856" i="2"/>
  <c r="E2855" i="2"/>
  <c r="D2855" i="2"/>
  <c r="C2855" i="2"/>
  <c r="E2854" i="2"/>
  <c r="D2854" i="2"/>
  <c r="C2854" i="2"/>
  <c r="E2853" i="2"/>
  <c r="D2853" i="2"/>
  <c r="C2853" i="2"/>
  <c r="E2852" i="2"/>
  <c r="D2852" i="2"/>
  <c r="C2852" i="2"/>
  <c r="E2851" i="2"/>
  <c r="D2851" i="2"/>
  <c r="C2851" i="2"/>
  <c r="E2850" i="2"/>
  <c r="D2850" i="2"/>
  <c r="C2850" i="2"/>
  <c r="E2849" i="2"/>
  <c r="D2849" i="2"/>
  <c r="C2849" i="2"/>
  <c r="E2848" i="2"/>
  <c r="D2848" i="2"/>
  <c r="C2848" i="2"/>
  <c r="E2847" i="2"/>
  <c r="D2847" i="2"/>
  <c r="C2847" i="2"/>
  <c r="E2846" i="2"/>
  <c r="D2846" i="2"/>
  <c r="C2846" i="2"/>
  <c r="E2845" i="2"/>
  <c r="D2845" i="2"/>
  <c r="C2845" i="2"/>
  <c r="E2844" i="2"/>
  <c r="D2844" i="2"/>
  <c r="C2844" i="2"/>
  <c r="E2843" i="2"/>
  <c r="D2843" i="2"/>
  <c r="C2843" i="2"/>
  <c r="E2842" i="2"/>
  <c r="D2842" i="2"/>
  <c r="C2842" i="2"/>
  <c r="E2841" i="2"/>
  <c r="D2841" i="2"/>
  <c r="C2841" i="2"/>
  <c r="E2840" i="2"/>
  <c r="D2840" i="2"/>
  <c r="C2840" i="2"/>
  <c r="E2839" i="2"/>
  <c r="D2839" i="2"/>
  <c r="C2839" i="2"/>
  <c r="E2838" i="2"/>
  <c r="D2838" i="2"/>
  <c r="C2838" i="2"/>
  <c r="E2837" i="2"/>
  <c r="D2837" i="2"/>
  <c r="C2837" i="2"/>
  <c r="E2836" i="2"/>
  <c r="D2836" i="2"/>
  <c r="C2836" i="2"/>
  <c r="E2835" i="2"/>
  <c r="D2835" i="2"/>
  <c r="C2835" i="2"/>
  <c r="E2834" i="2"/>
  <c r="D2834" i="2"/>
  <c r="C2834" i="2"/>
  <c r="E2833" i="2"/>
  <c r="D2833" i="2"/>
  <c r="C2833" i="2"/>
  <c r="E2832" i="2"/>
  <c r="D2832" i="2"/>
  <c r="C2832" i="2"/>
  <c r="E2831" i="2"/>
  <c r="D2831" i="2"/>
  <c r="C2831" i="2"/>
  <c r="E2830" i="2"/>
  <c r="D2830" i="2"/>
  <c r="C2830" i="2"/>
  <c r="E2829" i="2"/>
  <c r="D2829" i="2"/>
  <c r="C2829" i="2"/>
  <c r="E2828" i="2"/>
  <c r="D2828" i="2"/>
  <c r="C2828" i="2"/>
  <c r="E2827" i="2"/>
  <c r="D2827" i="2"/>
  <c r="C2827" i="2"/>
  <c r="E2826" i="2"/>
  <c r="D2826" i="2"/>
  <c r="C2826" i="2"/>
  <c r="E2825" i="2"/>
  <c r="D2825" i="2"/>
  <c r="C2825" i="2"/>
  <c r="E2824" i="2"/>
  <c r="D2824" i="2"/>
  <c r="C2824" i="2"/>
  <c r="E2823" i="2"/>
  <c r="D2823" i="2"/>
  <c r="C2823" i="2"/>
  <c r="E2822" i="2"/>
  <c r="D2822" i="2"/>
  <c r="C2822" i="2"/>
  <c r="E2821" i="2"/>
  <c r="D2821" i="2"/>
  <c r="C2821" i="2"/>
  <c r="E2820" i="2"/>
  <c r="D2820" i="2"/>
  <c r="C2820" i="2"/>
  <c r="E2819" i="2"/>
  <c r="D2819" i="2"/>
  <c r="C2819" i="2"/>
  <c r="E2818" i="2"/>
  <c r="D2818" i="2"/>
  <c r="C2818" i="2"/>
  <c r="E2817" i="2"/>
  <c r="D2817" i="2"/>
  <c r="C2817" i="2"/>
  <c r="E2816" i="2"/>
  <c r="D2816" i="2"/>
  <c r="C2816" i="2"/>
  <c r="E2815" i="2"/>
  <c r="D2815" i="2"/>
  <c r="C2815" i="2"/>
  <c r="E2814" i="2"/>
  <c r="D2814" i="2"/>
  <c r="C2814" i="2"/>
  <c r="E2813" i="2"/>
  <c r="D2813" i="2"/>
  <c r="C2813" i="2"/>
  <c r="E2812" i="2"/>
  <c r="D2812" i="2"/>
  <c r="C2812" i="2"/>
  <c r="E2811" i="2"/>
  <c r="D2811" i="2"/>
  <c r="C2811" i="2"/>
  <c r="E2810" i="2"/>
  <c r="D2810" i="2"/>
  <c r="C2810" i="2"/>
  <c r="E2809" i="2"/>
  <c r="D2809" i="2"/>
  <c r="C2809" i="2"/>
  <c r="E2808" i="2"/>
  <c r="D2808" i="2"/>
  <c r="C2808" i="2"/>
  <c r="E2807" i="2"/>
  <c r="D2807" i="2"/>
  <c r="C2807" i="2"/>
  <c r="E2806" i="2"/>
  <c r="D2806" i="2"/>
  <c r="C2806" i="2"/>
  <c r="E2805" i="2"/>
  <c r="D2805" i="2"/>
  <c r="C2805" i="2"/>
  <c r="E2804" i="2"/>
  <c r="D2804" i="2"/>
  <c r="C2804" i="2"/>
  <c r="E2803" i="2"/>
  <c r="D2803" i="2"/>
  <c r="C2803" i="2"/>
  <c r="E2802" i="2"/>
  <c r="D2802" i="2"/>
  <c r="C2802" i="2"/>
  <c r="E2801" i="2"/>
  <c r="D2801" i="2"/>
  <c r="C2801" i="2"/>
  <c r="E2800" i="2"/>
  <c r="D2800" i="2"/>
  <c r="C2800" i="2"/>
  <c r="E2799" i="2"/>
  <c r="D2799" i="2"/>
  <c r="C2799" i="2"/>
  <c r="E2798" i="2"/>
  <c r="D2798" i="2"/>
  <c r="C2798" i="2"/>
  <c r="E2797" i="2"/>
  <c r="D2797" i="2"/>
  <c r="C2797" i="2"/>
  <c r="E2796" i="2"/>
  <c r="D2796" i="2"/>
  <c r="C2796" i="2"/>
  <c r="E2795" i="2"/>
  <c r="D2795" i="2"/>
  <c r="C2795" i="2"/>
  <c r="E2794" i="2"/>
  <c r="D2794" i="2"/>
  <c r="C2794" i="2"/>
  <c r="E2793" i="2"/>
  <c r="D2793" i="2"/>
  <c r="C2793" i="2"/>
  <c r="E2792" i="2"/>
  <c r="D2792" i="2"/>
  <c r="C2792" i="2"/>
  <c r="E2791" i="2"/>
  <c r="D2791" i="2"/>
  <c r="C2791" i="2"/>
  <c r="E2790" i="2"/>
  <c r="D2790" i="2"/>
  <c r="C2790" i="2"/>
  <c r="E2789" i="2"/>
  <c r="D2789" i="2"/>
  <c r="C2789" i="2"/>
  <c r="E2788" i="2"/>
  <c r="D2788" i="2"/>
  <c r="C2788" i="2"/>
  <c r="E2787" i="2"/>
  <c r="D2787" i="2"/>
  <c r="C2787" i="2"/>
  <c r="E2786" i="2"/>
  <c r="D2786" i="2"/>
  <c r="C2786" i="2"/>
  <c r="E2785" i="2"/>
  <c r="D2785" i="2"/>
  <c r="C2785" i="2"/>
  <c r="E2784" i="2"/>
  <c r="D2784" i="2"/>
  <c r="C2784" i="2"/>
  <c r="E2783" i="2"/>
  <c r="D2783" i="2"/>
  <c r="C2783" i="2"/>
  <c r="E2782" i="2"/>
  <c r="D2782" i="2"/>
  <c r="C2782" i="2"/>
  <c r="E2781" i="2"/>
  <c r="D2781" i="2"/>
  <c r="C2781" i="2"/>
  <c r="E2780" i="2"/>
  <c r="D2780" i="2"/>
  <c r="C2780" i="2"/>
  <c r="E2779" i="2"/>
  <c r="D2779" i="2"/>
  <c r="C2779" i="2"/>
  <c r="E2778" i="2"/>
  <c r="D2778" i="2"/>
  <c r="C2778" i="2"/>
  <c r="E2777" i="2"/>
  <c r="D2777" i="2"/>
  <c r="C2777" i="2"/>
  <c r="E2776" i="2"/>
  <c r="D2776" i="2"/>
  <c r="C2776" i="2"/>
  <c r="E2775" i="2"/>
  <c r="D2775" i="2"/>
  <c r="C2775" i="2"/>
  <c r="E2774" i="2"/>
  <c r="D2774" i="2"/>
  <c r="C2774" i="2"/>
  <c r="E2773" i="2"/>
  <c r="D2773" i="2"/>
  <c r="C2773" i="2"/>
  <c r="E2772" i="2"/>
  <c r="D2772" i="2"/>
  <c r="C2772" i="2"/>
  <c r="E2771" i="2"/>
  <c r="D2771" i="2"/>
  <c r="C2771" i="2"/>
  <c r="E2770" i="2"/>
  <c r="D2770" i="2"/>
  <c r="C2770" i="2"/>
  <c r="E2769" i="2"/>
  <c r="D2769" i="2"/>
  <c r="C2769" i="2"/>
  <c r="E2768" i="2"/>
  <c r="D2768" i="2"/>
  <c r="C2768" i="2"/>
  <c r="E2767" i="2"/>
  <c r="D2767" i="2"/>
  <c r="C2767" i="2"/>
  <c r="E2766" i="2"/>
  <c r="D2766" i="2"/>
  <c r="C2766" i="2"/>
  <c r="E2765" i="2"/>
  <c r="D2765" i="2"/>
  <c r="C2765" i="2"/>
  <c r="E2764" i="2"/>
  <c r="D2764" i="2"/>
  <c r="C2764" i="2"/>
  <c r="E2763" i="2"/>
  <c r="D2763" i="2"/>
  <c r="C2763" i="2"/>
  <c r="E2762" i="2"/>
  <c r="D2762" i="2"/>
  <c r="C2762" i="2"/>
  <c r="E2761" i="2"/>
  <c r="D2761" i="2"/>
  <c r="C2761" i="2"/>
  <c r="E2760" i="2"/>
  <c r="D2760" i="2"/>
  <c r="C2760" i="2"/>
  <c r="E2759" i="2"/>
  <c r="D2759" i="2"/>
  <c r="C2759" i="2"/>
  <c r="E2758" i="2"/>
  <c r="D2758" i="2"/>
  <c r="C2758" i="2"/>
  <c r="E2757" i="2"/>
  <c r="D2757" i="2"/>
  <c r="C2757" i="2"/>
  <c r="E2756" i="2"/>
  <c r="D2756" i="2"/>
  <c r="C2756" i="2"/>
  <c r="E2755" i="2"/>
  <c r="D2755" i="2"/>
  <c r="C2755" i="2"/>
  <c r="E2754" i="2"/>
  <c r="D2754" i="2"/>
  <c r="C2754" i="2"/>
  <c r="E2753" i="2"/>
  <c r="D2753" i="2"/>
  <c r="C2753" i="2"/>
  <c r="E2752" i="2"/>
  <c r="D2752" i="2"/>
  <c r="C2752" i="2"/>
  <c r="E2751" i="2"/>
  <c r="D2751" i="2"/>
  <c r="C2751" i="2"/>
  <c r="E2750" i="2"/>
  <c r="D2750" i="2"/>
  <c r="C2750" i="2"/>
  <c r="E2749" i="2"/>
  <c r="D2749" i="2"/>
  <c r="C2749" i="2"/>
  <c r="E2748" i="2"/>
  <c r="D2748" i="2"/>
  <c r="C2748" i="2"/>
  <c r="E2747" i="2"/>
  <c r="D2747" i="2"/>
  <c r="C2747" i="2"/>
  <c r="E2746" i="2"/>
  <c r="D2746" i="2"/>
  <c r="C2746" i="2"/>
  <c r="E2745" i="2"/>
  <c r="D2745" i="2"/>
  <c r="C2745" i="2"/>
  <c r="E2744" i="2"/>
  <c r="D2744" i="2"/>
  <c r="C2744" i="2"/>
  <c r="E2743" i="2"/>
  <c r="D2743" i="2"/>
  <c r="C2743" i="2"/>
  <c r="E2742" i="2"/>
  <c r="D2742" i="2"/>
  <c r="C2742" i="2"/>
  <c r="E2741" i="2"/>
  <c r="D2741" i="2"/>
  <c r="C2741" i="2"/>
  <c r="E2740" i="2"/>
  <c r="D2740" i="2"/>
  <c r="C2740" i="2"/>
  <c r="E2739" i="2"/>
  <c r="D2739" i="2"/>
  <c r="C2739" i="2"/>
  <c r="E2738" i="2"/>
  <c r="D2738" i="2"/>
  <c r="C2738" i="2"/>
  <c r="E2737" i="2"/>
  <c r="D2737" i="2"/>
  <c r="C2737" i="2"/>
  <c r="E2736" i="2"/>
  <c r="D2736" i="2"/>
  <c r="C2736" i="2"/>
  <c r="E2735" i="2"/>
  <c r="D2735" i="2"/>
  <c r="C2735" i="2"/>
  <c r="E2734" i="2"/>
  <c r="D2734" i="2"/>
  <c r="C2734" i="2"/>
  <c r="E2733" i="2"/>
  <c r="D2733" i="2"/>
  <c r="C2733" i="2"/>
  <c r="E2732" i="2"/>
  <c r="D2732" i="2"/>
  <c r="C2732" i="2"/>
  <c r="E2731" i="2"/>
  <c r="D2731" i="2"/>
  <c r="C2731" i="2"/>
  <c r="E2730" i="2"/>
  <c r="D2730" i="2"/>
  <c r="C2730" i="2"/>
  <c r="E2729" i="2"/>
  <c r="D2729" i="2"/>
  <c r="C2729" i="2"/>
  <c r="E2728" i="2"/>
  <c r="D2728" i="2"/>
  <c r="C2728" i="2"/>
  <c r="E2727" i="2"/>
  <c r="D2727" i="2"/>
  <c r="C2727" i="2"/>
  <c r="E2726" i="2"/>
  <c r="D2726" i="2"/>
  <c r="C2726" i="2"/>
  <c r="E2725" i="2"/>
  <c r="D2725" i="2"/>
  <c r="C2725" i="2"/>
  <c r="E2724" i="2"/>
  <c r="D2724" i="2"/>
  <c r="C2724" i="2"/>
  <c r="E2723" i="2"/>
  <c r="D2723" i="2"/>
  <c r="C2723" i="2"/>
  <c r="E2722" i="2"/>
  <c r="D2722" i="2"/>
  <c r="C2722" i="2"/>
  <c r="E2721" i="2"/>
  <c r="D2721" i="2"/>
  <c r="C2721" i="2"/>
  <c r="E2720" i="2"/>
  <c r="D2720" i="2"/>
  <c r="C2720" i="2"/>
  <c r="E2719" i="2"/>
  <c r="D2719" i="2"/>
  <c r="C2719" i="2"/>
  <c r="E2718" i="2"/>
  <c r="D2718" i="2"/>
  <c r="C2718" i="2"/>
  <c r="E2717" i="2"/>
  <c r="D2717" i="2"/>
  <c r="C2717" i="2"/>
  <c r="E2716" i="2"/>
  <c r="D2716" i="2"/>
  <c r="C2716" i="2"/>
  <c r="E2715" i="2"/>
  <c r="D2715" i="2"/>
  <c r="C2715" i="2"/>
  <c r="E2714" i="2"/>
  <c r="D2714" i="2"/>
  <c r="C2714" i="2"/>
  <c r="E2713" i="2"/>
  <c r="D2713" i="2"/>
  <c r="C2713" i="2"/>
  <c r="E2712" i="2"/>
  <c r="D2712" i="2"/>
  <c r="C2712" i="2"/>
  <c r="E2711" i="2"/>
  <c r="D2711" i="2"/>
  <c r="C2711" i="2"/>
  <c r="E2710" i="2"/>
  <c r="D2710" i="2"/>
  <c r="C2710" i="2"/>
  <c r="E2709" i="2"/>
  <c r="D2709" i="2"/>
  <c r="C2709" i="2"/>
  <c r="E2708" i="2"/>
  <c r="D2708" i="2"/>
  <c r="C2708" i="2"/>
  <c r="E2707" i="2"/>
  <c r="D2707" i="2"/>
  <c r="C2707" i="2"/>
  <c r="E2706" i="2"/>
  <c r="D2706" i="2"/>
  <c r="C2706" i="2"/>
  <c r="E2705" i="2"/>
  <c r="D2705" i="2"/>
  <c r="C2705" i="2"/>
  <c r="E2704" i="2"/>
  <c r="D2704" i="2"/>
  <c r="C2704" i="2"/>
  <c r="E2703" i="2"/>
  <c r="D2703" i="2"/>
  <c r="C2703" i="2"/>
  <c r="E2702" i="2"/>
  <c r="D2702" i="2"/>
  <c r="C2702" i="2"/>
  <c r="E2701" i="2"/>
  <c r="D2701" i="2"/>
  <c r="C2701" i="2"/>
  <c r="E2700" i="2"/>
  <c r="D2700" i="2"/>
  <c r="C2700" i="2"/>
  <c r="E2699" i="2"/>
  <c r="D2699" i="2"/>
  <c r="C2699" i="2"/>
  <c r="E2698" i="2"/>
  <c r="D2698" i="2"/>
  <c r="C2698" i="2"/>
  <c r="E2697" i="2"/>
  <c r="D2697" i="2"/>
  <c r="C2697" i="2"/>
  <c r="E2696" i="2"/>
  <c r="D2696" i="2"/>
  <c r="C2696" i="2"/>
  <c r="E2695" i="2"/>
  <c r="D2695" i="2"/>
  <c r="C2695" i="2"/>
  <c r="E2694" i="2"/>
  <c r="D2694" i="2"/>
  <c r="C2694" i="2"/>
  <c r="E2693" i="2"/>
  <c r="D2693" i="2"/>
  <c r="C2693" i="2"/>
  <c r="E2692" i="2"/>
  <c r="D2692" i="2"/>
  <c r="C2692" i="2"/>
  <c r="E2691" i="2"/>
  <c r="D2691" i="2"/>
  <c r="C2691" i="2"/>
  <c r="E2690" i="2"/>
  <c r="D2690" i="2"/>
  <c r="C2690" i="2"/>
  <c r="E2689" i="2"/>
  <c r="D2689" i="2"/>
  <c r="C2689" i="2"/>
  <c r="E2688" i="2"/>
  <c r="D2688" i="2"/>
  <c r="C2688" i="2"/>
  <c r="E2687" i="2"/>
  <c r="D2687" i="2"/>
  <c r="C2687" i="2"/>
  <c r="E2686" i="2"/>
  <c r="D2686" i="2"/>
  <c r="C2686" i="2"/>
  <c r="E2685" i="2"/>
  <c r="D2685" i="2"/>
  <c r="C2685" i="2"/>
  <c r="E2684" i="2"/>
  <c r="D2684" i="2"/>
  <c r="C2684" i="2"/>
  <c r="E2683" i="2"/>
  <c r="D2683" i="2"/>
  <c r="C2683" i="2"/>
  <c r="E2682" i="2"/>
  <c r="D2682" i="2"/>
  <c r="C2682" i="2"/>
  <c r="E2681" i="2"/>
  <c r="D2681" i="2"/>
  <c r="C2681" i="2"/>
  <c r="E2680" i="2"/>
  <c r="D2680" i="2"/>
  <c r="C2680" i="2"/>
  <c r="E2679" i="2"/>
  <c r="D2679" i="2"/>
  <c r="C2679" i="2"/>
  <c r="E2678" i="2"/>
  <c r="D2678" i="2"/>
  <c r="C2678" i="2"/>
  <c r="E2677" i="2"/>
  <c r="D2677" i="2"/>
  <c r="C2677" i="2"/>
  <c r="E2676" i="2"/>
  <c r="D2676" i="2"/>
  <c r="C2676" i="2"/>
  <c r="E2675" i="2"/>
  <c r="D2675" i="2"/>
  <c r="C2675" i="2"/>
  <c r="E2674" i="2"/>
  <c r="D2674" i="2"/>
  <c r="C2674" i="2"/>
  <c r="E2673" i="2"/>
  <c r="D2673" i="2"/>
  <c r="C2673" i="2"/>
  <c r="E2672" i="2"/>
  <c r="D2672" i="2"/>
  <c r="C2672" i="2"/>
  <c r="E2671" i="2"/>
  <c r="D2671" i="2"/>
  <c r="C2671" i="2"/>
  <c r="E2670" i="2"/>
  <c r="D2670" i="2"/>
  <c r="C2670" i="2"/>
  <c r="E2669" i="2"/>
  <c r="D2669" i="2"/>
  <c r="C2669" i="2"/>
  <c r="E2668" i="2"/>
  <c r="D2668" i="2"/>
  <c r="C2668" i="2"/>
  <c r="E2667" i="2"/>
  <c r="D2667" i="2"/>
  <c r="C2667" i="2"/>
  <c r="E2666" i="2"/>
  <c r="D2666" i="2"/>
  <c r="C2666" i="2"/>
  <c r="E2665" i="2"/>
  <c r="D2665" i="2"/>
  <c r="C2665" i="2"/>
  <c r="E2664" i="2"/>
  <c r="D2664" i="2"/>
  <c r="C2664" i="2"/>
  <c r="E2663" i="2"/>
  <c r="D2663" i="2"/>
  <c r="C2663" i="2"/>
  <c r="E2662" i="2"/>
  <c r="D2662" i="2"/>
  <c r="C2662" i="2"/>
  <c r="E2661" i="2"/>
  <c r="D2661" i="2"/>
  <c r="C2661" i="2"/>
  <c r="E2660" i="2"/>
  <c r="D2660" i="2"/>
  <c r="C2660" i="2"/>
  <c r="E2659" i="2"/>
  <c r="D2659" i="2"/>
  <c r="C2659" i="2"/>
  <c r="E2658" i="2"/>
  <c r="D2658" i="2"/>
  <c r="C2658" i="2"/>
  <c r="E2657" i="2"/>
  <c r="D2657" i="2"/>
  <c r="C2657" i="2"/>
  <c r="E2656" i="2"/>
  <c r="D2656" i="2"/>
  <c r="C2656" i="2"/>
  <c r="E2655" i="2"/>
  <c r="D2655" i="2"/>
  <c r="C2655" i="2"/>
  <c r="E2654" i="2"/>
  <c r="D2654" i="2"/>
  <c r="C2654" i="2"/>
  <c r="E2653" i="2"/>
  <c r="D2653" i="2"/>
  <c r="C2653" i="2"/>
  <c r="E2652" i="2"/>
  <c r="D2652" i="2"/>
  <c r="C2652" i="2"/>
  <c r="E2651" i="2"/>
  <c r="D2651" i="2"/>
  <c r="C2651" i="2"/>
  <c r="E2650" i="2"/>
  <c r="D2650" i="2"/>
  <c r="C2650" i="2"/>
  <c r="E2649" i="2"/>
  <c r="D2649" i="2"/>
  <c r="C2649" i="2"/>
  <c r="E2648" i="2"/>
  <c r="D2648" i="2"/>
  <c r="C2648" i="2"/>
  <c r="E2647" i="2"/>
  <c r="D2647" i="2"/>
  <c r="C2647" i="2"/>
  <c r="E2646" i="2"/>
  <c r="D2646" i="2"/>
  <c r="C2646" i="2"/>
  <c r="E2645" i="2"/>
  <c r="D2645" i="2"/>
  <c r="C2645" i="2"/>
  <c r="E2644" i="2"/>
  <c r="D2644" i="2"/>
  <c r="C2644" i="2"/>
  <c r="E2643" i="2"/>
  <c r="D2643" i="2"/>
  <c r="C2643" i="2"/>
  <c r="E2642" i="2"/>
  <c r="D2642" i="2"/>
  <c r="C2642" i="2"/>
  <c r="E2641" i="2"/>
  <c r="D2641" i="2"/>
  <c r="C2641" i="2"/>
  <c r="E2640" i="2"/>
  <c r="D2640" i="2"/>
  <c r="C2640" i="2"/>
  <c r="E2639" i="2"/>
  <c r="D2639" i="2"/>
  <c r="C2639" i="2"/>
  <c r="E2638" i="2"/>
  <c r="D2638" i="2"/>
  <c r="C2638" i="2"/>
  <c r="E2637" i="2"/>
  <c r="D2637" i="2"/>
  <c r="C2637" i="2"/>
  <c r="E2636" i="2"/>
  <c r="D2636" i="2"/>
  <c r="C2636" i="2"/>
  <c r="E2635" i="2"/>
  <c r="D2635" i="2"/>
  <c r="C2635" i="2"/>
  <c r="E2634" i="2"/>
  <c r="D2634" i="2"/>
  <c r="C2634" i="2"/>
  <c r="E2633" i="2"/>
  <c r="D2633" i="2"/>
  <c r="C2633" i="2"/>
  <c r="E2632" i="2"/>
  <c r="D2632" i="2"/>
  <c r="C2632" i="2"/>
  <c r="E2631" i="2"/>
  <c r="D2631" i="2"/>
  <c r="C2631" i="2"/>
  <c r="E2630" i="2"/>
  <c r="D2630" i="2"/>
  <c r="C2630" i="2"/>
  <c r="E2629" i="2"/>
  <c r="D2629" i="2"/>
  <c r="C2629" i="2"/>
  <c r="E2628" i="2"/>
  <c r="D2628" i="2"/>
  <c r="C2628" i="2"/>
  <c r="E2627" i="2"/>
  <c r="D2627" i="2"/>
  <c r="C2627" i="2"/>
  <c r="E2626" i="2"/>
  <c r="D2626" i="2"/>
  <c r="C2626" i="2"/>
  <c r="E2625" i="2"/>
  <c r="D2625" i="2"/>
  <c r="C2625" i="2"/>
  <c r="E2624" i="2"/>
  <c r="D2624" i="2"/>
  <c r="C2624" i="2"/>
  <c r="E2623" i="2"/>
  <c r="D2623" i="2"/>
  <c r="C2623" i="2"/>
  <c r="E2622" i="2"/>
  <c r="D2622" i="2"/>
  <c r="C2622" i="2"/>
  <c r="E2621" i="2"/>
  <c r="D2621" i="2"/>
  <c r="C2621" i="2"/>
  <c r="E2620" i="2"/>
  <c r="D2620" i="2"/>
  <c r="C2620" i="2"/>
  <c r="E2619" i="2"/>
  <c r="D2619" i="2"/>
  <c r="C2619" i="2"/>
  <c r="E2618" i="2"/>
  <c r="D2618" i="2"/>
  <c r="C2618" i="2"/>
  <c r="E2617" i="2"/>
  <c r="D2617" i="2"/>
  <c r="C2617" i="2"/>
  <c r="E2616" i="2"/>
  <c r="D2616" i="2"/>
  <c r="C2616" i="2"/>
  <c r="E2615" i="2"/>
  <c r="D2615" i="2"/>
  <c r="C2615" i="2"/>
  <c r="E2614" i="2"/>
  <c r="D2614" i="2"/>
  <c r="C2614" i="2"/>
  <c r="E2613" i="2"/>
  <c r="D2613" i="2"/>
  <c r="C2613" i="2"/>
  <c r="E2612" i="2"/>
  <c r="D2612" i="2"/>
  <c r="C2612" i="2"/>
  <c r="E2611" i="2"/>
  <c r="D2611" i="2"/>
  <c r="C2611" i="2"/>
  <c r="E2610" i="2"/>
  <c r="D2610" i="2"/>
  <c r="C2610" i="2"/>
  <c r="E2609" i="2"/>
  <c r="D2609" i="2"/>
  <c r="C2609" i="2"/>
  <c r="E2608" i="2"/>
  <c r="D2608" i="2"/>
  <c r="C2608" i="2"/>
  <c r="E2607" i="2"/>
  <c r="D2607" i="2"/>
  <c r="C2607" i="2"/>
  <c r="E2606" i="2"/>
  <c r="D2606" i="2"/>
  <c r="C2606" i="2"/>
  <c r="E2605" i="2"/>
  <c r="D2605" i="2"/>
  <c r="C2605" i="2"/>
  <c r="E2604" i="2"/>
  <c r="D2604" i="2"/>
  <c r="C2604" i="2"/>
  <c r="E2603" i="2"/>
  <c r="D2603" i="2"/>
  <c r="C2603" i="2"/>
  <c r="E2602" i="2"/>
  <c r="D2602" i="2"/>
  <c r="C2602" i="2"/>
  <c r="E2601" i="2"/>
  <c r="D2601" i="2"/>
  <c r="C2601" i="2"/>
  <c r="E2600" i="2"/>
  <c r="D2600" i="2"/>
  <c r="C2600" i="2"/>
  <c r="E2599" i="2"/>
  <c r="D2599" i="2"/>
  <c r="C2599" i="2"/>
  <c r="E2598" i="2"/>
  <c r="D2598" i="2"/>
  <c r="C2598" i="2"/>
  <c r="E2597" i="2"/>
  <c r="D2597" i="2"/>
  <c r="C2597" i="2"/>
  <c r="E2596" i="2"/>
  <c r="D2596" i="2"/>
  <c r="C2596" i="2"/>
  <c r="E2595" i="2"/>
  <c r="D2595" i="2"/>
  <c r="C2595" i="2"/>
  <c r="E2594" i="2"/>
  <c r="D2594" i="2"/>
  <c r="C2594" i="2"/>
  <c r="E2593" i="2"/>
  <c r="D2593" i="2"/>
  <c r="C2593" i="2"/>
  <c r="E2592" i="2"/>
  <c r="D2592" i="2"/>
  <c r="C2592" i="2"/>
  <c r="E2591" i="2"/>
  <c r="D2591" i="2"/>
  <c r="C2591" i="2"/>
  <c r="E2590" i="2"/>
  <c r="D2590" i="2"/>
  <c r="C2590" i="2"/>
  <c r="E2589" i="2"/>
  <c r="D2589" i="2"/>
  <c r="C2589" i="2"/>
  <c r="E2588" i="2"/>
  <c r="D2588" i="2"/>
  <c r="C2588" i="2"/>
  <c r="E2587" i="2"/>
  <c r="D2587" i="2"/>
  <c r="C2587" i="2"/>
  <c r="E2586" i="2"/>
  <c r="D2586" i="2"/>
  <c r="C2586" i="2"/>
  <c r="E2585" i="2"/>
  <c r="D2585" i="2"/>
  <c r="C2585" i="2"/>
  <c r="E2584" i="2"/>
  <c r="D2584" i="2"/>
  <c r="C2584" i="2"/>
  <c r="E2583" i="2"/>
  <c r="D2583" i="2"/>
  <c r="C2583" i="2"/>
  <c r="E2582" i="2"/>
  <c r="D2582" i="2"/>
  <c r="C2582" i="2"/>
  <c r="E2581" i="2"/>
  <c r="D2581" i="2"/>
  <c r="C2581" i="2"/>
  <c r="E2580" i="2"/>
  <c r="D2580" i="2"/>
  <c r="C2580" i="2"/>
  <c r="E2579" i="2"/>
  <c r="D2579" i="2"/>
  <c r="C2579" i="2"/>
  <c r="E2578" i="2"/>
  <c r="D2578" i="2"/>
  <c r="C2578" i="2"/>
  <c r="E2577" i="2"/>
  <c r="D2577" i="2"/>
  <c r="C2577" i="2"/>
  <c r="E2576" i="2"/>
  <c r="D2576" i="2"/>
  <c r="C2576" i="2"/>
  <c r="E2575" i="2"/>
  <c r="D2575" i="2"/>
  <c r="C2575" i="2"/>
  <c r="E2574" i="2"/>
  <c r="D2574" i="2"/>
  <c r="C2574" i="2"/>
  <c r="E2573" i="2"/>
  <c r="D2573" i="2"/>
  <c r="C2573" i="2"/>
  <c r="E2572" i="2"/>
  <c r="D2572" i="2"/>
  <c r="C2572" i="2"/>
  <c r="E2571" i="2"/>
  <c r="D2571" i="2"/>
  <c r="C2571" i="2"/>
  <c r="E2570" i="2"/>
  <c r="D2570" i="2"/>
  <c r="C2570" i="2"/>
  <c r="E2569" i="2"/>
  <c r="D2569" i="2"/>
  <c r="C2569" i="2"/>
  <c r="E2568" i="2"/>
  <c r="D2568" i="2"/>
  <c r="C2568" i="2"/>
  <c r="E2567" i="2"/>
  <c r="D2567" i="2"/>
  <c r="C2567" i="2"/>
  <c r="E2566" i="2"/>
  <c r="D2566" i="2"/>
  <c r="C2566" i="2"/>
  <c r="E2565" i="2"/>
  <c r="D2565" i="2"/>
  <c r="C2565" i="2"/>
  <c r="E2564" i="2"/>
  <c r="D2564" i="2"/>
  <c r="C2564" i="2"/>
  <c r="E2563" i="2"/>
  <c r="D2563" i="2"/>
  <c r="C2563" i="2"/>
  <c r="E2562" i="2"/>
  <c r="D2562" i="2"/>
  <c r="C2562" i="2"/>
  <c r="E2561" i="2"/>
  <c r="D2561" i="2"/>
  <c r="C2561" i="2"/>
  <c r="E2560" i="2"/>
  <c r="D2560" i="2"/>
  <c r="C2560" i="2"/>
  <c r="E2559" i="2"/>
  <c r="D2559" i="2"/>
  <c r="C2559" i="2"/>
  <c r="E2558" i="2"/>
  <c r="D2558" i="2"/>
  <c r="C2558" i="2"/>
  <c r="E2557" i="2"/>
  <c r="D2557" i="2"/>
  <c r="C2557" i="2"/>
  <c r="E2556" i="2"/>
  <c r="D2556" i="2"/>
  <c r="C2556" i="2"/>
  <c r="E2555" i="2"/>
  <c r="D2555" i="2"/>
  <c r="C2555" i="2"/>
  <c r="E2554" i="2"/>
  <c r="D2554" i="2"/>
  <c r="C2554" i="2"/>
  <c r="E2553" i="2"/>
  <c r="D2553" i="2"/>
  <c r="C2553" i="2"/>
  <c r="E2552" i="2"/>
  <c r="D2552" i="2"/>
  <c r="C2552" i="2"/>
  <c r="E2551" i="2"/>
  <c r="D2551" i="2"/>
  <c r="C2551" i="2"/>
  <c r="E2550" i="2"/>
  <c r="D2550" i="2"/>
  <c r="C2550" i="2"/>
  <c r="E2549" i="2"/>
  <c r="D2549" i="2"/>
  <c r="C2549" i="2"/>
  <c r="E2548" i="2"/>
  <c r="D2548" i="2"/>
  <c r="C2548" i="2"/>
  <c r="E2547" i="2"/>
  <c r="D2547" i="2"/>
  <c r="C2547" i="2"/>
  <c r="E2546" i="2"/>
  <c r="D2546" i="2"/>
  <c r="C2546" i="2"/>
  <c r="E2545" i="2"/>
  <c r="D2545" i="2"/>
  <c r="C2545" i="2"/>
  <c r="E2544" i="2"/>
  <c r="D2544" i="2"/>
  <c r="C2544" i="2"/>
  <c r="E2543" i="2"/>
  <c r="D2543" i="2"/>
  <c r="C2543" i="2"/>
  <c r="E2542" i="2"/>
  <c r="D2542" i="2"/>
  <c r="C2542" i="2"/>
  <c r="E2541" i="2"/>
  <c r="D2541" i="2"/>
  <c r="C2541" i="2"/>
  <c r="E2540" i="2"/>
  <c r="D2540" i="2"/>
  <c r="C2540" i="2"/>
  <c r="E2539" i="2"/>
  <c r="D2539" i="2"/>
  <c r="C2539" i="2"/>
  <c r="E2538" i="2"/>
  <c r="D2538" i="2"/>
  <c r="C2538" i="2"/>
  <c r="E2537" i="2"/>
  <c r="D2537" i="2"/>
  <c r="C2537" i="2"/>
  <c r="E2536" i="2"/>
  <c r="D2536" i="2"/>
  <c r="C2536" i="2"/>
  <c r="E2535" i="2"/>
  <c r="D2535" i="2"/>
  <c r="C2535" i="2"/>
  <c r="E2534" i="2"/>
  <c r="D2534" i="2"/>
  <c r="C2534" i="2"/>
  <c r="E2533" i="2"/>
  <c r="D2533" i="2"/>
  <c r="C2533" i="2"/>
  <c r="E2532" i="2"/>
  <c r="D2532" i="2"/>
  <c r="C2532" i="2"/>
  <c r="E2531" i="2"/>
  <c r="D2531" i="2"/>
  <c r="C2531" i="2"/>
  <c r="E2530" i="2"/>
  <c r="D2530" i="2"/>
  <c r="C2530" i="2"/>
  <c r="E2529" i="2"/>
  <c r="D2529" i="2"/>
  <c r="C2529" i="2"/>
  <c r="E2528" i="2"/>
  <c r="D2528" i="2"/>
  <c r="C2528" i="2"/>
  <c r="E2527" i="2"/>
  <c r="D2527" i="2"/>
  <c r="C2527" i="2"/>
  <c r="E2526" i="2"/>
  <c r="D2526" i="2"/>
  <c r="C2526" i="2"/>
  <c r="E2525" i="2"/>
  <c r="D2525" i="2"/>
  <c r="C2525" i="2"/>
  <c r="E2524" i="2"/>
  <c r="D2524" i="2"/>
  <c r="C2524" i="2"/>
  <c r="E2523" i="2"/>
  <c r="D2523" i="2"/>
  <c r="C2523" i="2"/>
  <c r="E2522" i="2"/>
  <c r="D2522" i="2"/>
  <c r="C2522" i="2"/>
  <c r="E2521" i="2"/>
  <c r="D2521" i="2"/>
  <c r="C2521" i="2"/>
  <c r="E2520" i="2"/>
  <c r="D2520" i="2"/>
  <c r="C2520" i="2"/>
  <c r="E2519" i="2"/>
  <c r="D2519" i="2"/>
  <c r="C2519" i="2"/>
  <c r="E2518" i="2"/>
  <c r="D2518" i="2"/>
  <c r="C2518" i="2"/>
  <c r="E2517" i="2"/>
  <c r="D2517" i="2"/>
  <c r="C2517" i="2"/>
  <c r="E2516" i="2"/>
  <c r="D2516" i="2"/>
  <c r="C2516" i="2"/>
  <c r="E2515" i="2"/>
  <c r="D2515" i="2"/>
  <c r="C2515" i="2"/>
  <c r="E2514" i="2"/>
  <c r="D2514" i="2"/>
  <c r="C2514" i="2"/>
  <c r="E2513" i="2"/>
  <c r="D2513" i="2"/>
  <c r="C2513" i="2"/>
  <c r="E2512" i="2"/>
  <c r="D2512" i="2"/>
  <c r="C2512" i="2"/>
  <c r="E2511" i="2"/>
  <c r="D2511" i="2"/>
  <c r="C2511" i="2"/>
  <c r="E2510" i="2"/>
  <c r="D2510" i="2"/>
  <c r="C2510" i="2"/>
  <c r="E2509" i="2"/>
  <c r="D2509" i="2"/>
  <c r="C2509" i="2"/>
  <c r="E2508" i="2"/>
  <c r="D2508" i="2"/>
  <c r="C2508" i="2"/>
  <c r="E2507" i="2"/>
  <c r="D2507" i="2"/>
  <c r="C2507" i="2"/>
  <c r="E2506" i="2"/>
  <c r="D2506" i="2"/>
  <c r="C2506" i="2"/>
  <c r="E2505" i="2"/>
  <c r="D2505" i="2"/>
  <c r="C2505" i="2"/>
  <c r="E2504" i="2"/>
  <c r="D2504" i="2"/>
  <c r="C2504" i="2"/>
  <c r="E2503" i="2"/>
  <c r="D2503" i="2"/>
  <c r="C2503" i="2"/>
  <c r="E2502" i="2"/>
  <c r="D2502" i="2"/>
  <c r="C2502" i="2"/>
  <c r="E2501" i="2"/>
  <c r="D2501" i="2"/>
  <c r="C2501" i="2"/>
  <c r="E2500" i="2"/>
  <c r="D2500" i="2"/>
  <c r="C2500" i="2"/>
  <c r="E2499" i="2"/>
  <c r="D2499" i="2"/>
  <c r="C2499" i="2"/>
  <c r="E2498" i="2"/>
  <c r="D2498" i="2"/>
  <c r="C2498" i="2"/>
  <c r="E2497" i="2"/>
  <c r="D2497" i="2"/>
  <c r="C2497" i="2"/>
  <c r="E2496" i="2"/>
  <c r="D2496" i="2"/>
  <c r="C2496" i="2"/>
  <c r="E2495" i="2"/>
  <c r="D2495" i="2"/>
  <c r="C2495" i="2"/>
  <c r="E2494" i="2"/>
  <c r="D2494" i="2"/>
  <c r="C2494" i="2"/>
  <c r="E2493" i="2"/>
  <c r="D2493" i="2"/>
  <c r="C2493" i="2"/>
  <c r="E2492" i="2"/>
  <c r="D2492" i="2"/>
  <c r="C2492" i="2"/>
  <c r="E2491" i="2"/>
  <c r="D2491" i="2"/>
  <c r="C2491" i="2"/>
  <c r="E2490" i="2"/>
  <c r="D2490" i="2"/>
  <c r="C2490" i="2"/>
  <c r="E2489" i="2"/>
  <c r="D2489" i="2"/>
  <c r="C2489" i="2"/>
  <c r="E2488" i="2"/>
  <c r="D2488" i="2"/>
  <c r="C2488" i="2"/>
  <c r="E2487" i="2"/>
  <c r="D2487" i="2"/>
  <c r="C2487" i="2"/>
  <c r="E2486" i="2"/>
  <c r="D2486" i="2"/>
  <c r="C2486" i="2"/>
  <c r="E2485" i="2"/>
  <c r="D2485" i="2"/>
  <c r="C2485" i="2"/>
  <c r="E2484" i="2"/>
  <c r="D2484" i="2"/>
  <c r="C2484" i="2"/>
  <c r="E2483" i="2"/>
  <c r="D2483" i="2"/>
  <c r="C2483" i="2"/>
  <c r="E2482" i="2"/>
  <c r="D2482" i="2"/>
  <c r="C2482" i="2"/>
  <c r="E2481" i="2"/>
  <c r="D2481" i="2"/>
  <c r="C2481" i="2"/>
  <c r="E2480" i="2"/>
  <c r="D2480" i="2"/>
  <c r="C2480" i="2"/>
  <c r="E2479" i="2"/>
  <c r="D2479" i="2"/>
  <c r="C2479" i="2"/>
  <c r="E2478" i="2"/>
  <c r="D2478" i="2"/>
  <c r="C2478" i="2"/>
  <c r="E2477" i="2"/>
  <c r="D2477" i="2"/>
  <c r="C2477" i="2"/>
  <c r="E2476" i="2"/>
  <c r="D2476" i="2"/>
  <c r="C2476" i="2"/>
  <c r="E2475" i="2"/>
  <c r="D2475" i="2"/>
  <c r="C2475" i="2"/>
  <c r="E2474" i="2"/>
  <c r="D2474" i="2"/>
  <c r="C2474" i="2"/>
  <c r="E2473" i="2"/>
  <c r="D2473" i="2"/>
  <c r="C2473" i="2"/>
  <c r="E2472" i="2"/>
  <c r="D2472" i="2"/>
  <c r="C2472" i="2"/>
  <c r="E2471" i="2"/>
  <c r="D2471" i="2"/>
  <c r="C2471" i="2"/>
  <c r="E2470" i="2"/>
  <c r="D2470" i="2"/>
  <c r="C2470" i="2"/>
  <c r="E2469" i="2"/>
  <c r="D2469" i="2"/>
  <c r="C2469" i="2"/>
  <c r="E2468" i="2"/>
  <c r="D2468" i="2"/>
  <c r="C2468" i="2"/>
  <c r="E2467" i="2"/>
  <c r="D2467" i="2"/>
  <c r="C2467" i="2"/>
  <c r="E2466" i="2"/>
  <c r="D2466" i="2"/>
  <c r="C2466" i="2"/>
  <c r="E2465" i="2"/>
  <c r="D2465" i="2"/>
  <c r="C2465" i="2"/>
  <c r="E2464" i="2"/>
  <c r="D2464" i="2"/>
  <c r="C2464" i="2"/>
  <c r="E2463" i="2"/>
  <c r="D2463" i="2"/>
  <c r="C2463" i="2"/>
  <c r="E2462" i="2"/>
  <c r="D2462" i="2"/>
  <c r="C2462" i="2"/>
  <c r="E2461" i="2"/>
  <c r="D2461" i="2"/>
  <c r="C2461" i="2"/>
  <c r="E2460" i="2"/>
  <c r="D2460" i="2"/>
  <c r="C2460" i="2"/>
  <c r="E2459" i="2"/>
  <c r="D2459" i="2"/>
  <c r="C2459" i="2"/>
  <c r="E2458" i="2"/>
  <c r="D2458" i="2"/>
  <c r="C2458" i="2"/>
  <c r="E2457" i="2"/>
  <c r="D2457" i="2"/>
  <c r="C2457" i="2"/>
  <c r="E2456" i="2"/>
  <c r="D2456" i="2"/>
  <c r="C2456" i="2"/>
  <c r="E2455" i="2"/>
  <c r="D2455" i="2"/>
  <c r="C2455" i="2"/>
  <c r="E2454" i="2"/>
  <c r="D2454" i="2"/>
  <c r="C2454" i="2"/>
  <c r="E2453" i="2"/>
  <c r="D2453" i="2"/>
  <c r="C2453" i="2"/>
  <c r="E2452" i="2"/>
  <c r="D2452" i="2"/>
  <c r="C2452" i="2"/>
  <c r="E2451" i="2"/>
  <c r="D2451" i="2"/>
  <c r="C2451" i="2"/>
  <c r="E2450" i="2"/>
  <c r="D2450" i="2"/>
  <c r="C2450" i="2"/>
  <c r="E2449" i="2"/>
  <c r="D2449" i="2"/>
  <c r="C2449" i="2"/>
  <c r="E2448" i="2"/>
  <c r="D2448" i="2"/>
  <c r="C2448" i="2"/>
  <c r="E2447" i="2"/>
  <c r="D2447" i="2"/>
  <c r="C2447" i="2"/>
  <c r="E2446" i="2"/>
  <c r="D2446" i="2"/>
  <c r="C2446" i="2"/>
  <c r="E2445" i="2"/>
  <c r="D2445" i="2"/>
  <c r="C2445" i="2"/>
  <c r="E2444" i="2"/>
  <c r="D2444" i="2"/>
  <c r="C2444" i="2"/>
  <c r="E2443" i="2"/>
  <c r="D2443" i="2"/>
  <c r="C2443" i="2"/>
  <c r="E2442" i="2"/>
  <c r="D2442" i="2"/>
  <c r="C2442" i="2"/>
  <c r="E2441" i="2"/>
  <c r="D2441" i="2"/>
  <c r="C2441" i="2"/>
  <c r="E2440" i="2"/>
  <c r="D2440" i="2"/>
  <c r="C2440" i="2"/>
  <c r="E2439" i="2"/>
  <c r="D2439" i="2"/>
  <c r="C2439" i="2"/>
  <c r="E2438" i="2"/>
  <c r="D2438" i="2"/>
  <c r="C2438" i="2"/>
  <c r="E2437" i="2"/>
  <c r="D2437" i="2"/>
  <c r="C2437" i="2"/>
  <c r="E2436" i="2"/>
  <c r="D2436" i="2"/>
  <c r="C2436" i="2"/>
  <c r="E2435" i="2"/>
  <c r="D2435" i="2"/>
  <c r="C2435" i="2"/>
  <c r="E2434" i="2"/>
  <c r="D2434" i="2"/>
  <c r="C2434" i="2"/>
  <c r="E2433" i="2"/>
  <c r="D2433" i="2"/>
  <c r="C2433" i="2"/>
  <c r="E2432" i="2"/>
  <c r="D2432" i="2"/>
  <c r="C2432" i="2"/>
  <c r="E2431" i="2"/>
  <c r="D2431" i="2"/>
  <c r="C2431" i="2"/>
  <c r="E2430" i="2"/>
  <c r="D2430" i="2"/>
  <c r="C2430" i="2"/>
  <c r="E2429" i="2"/>
  <c r="D2429" i="2"/>
  <c r="C2429" i="2"/>
  <c r="E2428" i="2"/>
  <c r="D2428" i="2"/>
  <c r="C2428" i="2"/>
  <c r="E2427" i="2"/>
  <c r="D2427" i="2"/>
  <c r="C2427" i="2"/>
  <c r="E2426" i="2"/>
  <c r="D2426" i="2"/>
  <c r="C2426" i="2"/>
  <c r="E2425" i="2"/>
  <c r="D2425" i="2"/>
  <c r="C2425" i="2"/>
  <c r="E2424" i="2"/>
  <c r="D2424" i="2"/>
  <c r="C2424" i="2"/>
  <c r="E2423" i="2"/>
  <c r="D2423" i="2"/>
  <c r="C2423" i="2"/>
  <c r="E2422" i="2"/>
  <c r="D2422" i="2"/>
  <c r="C2422" i="2"/>
  <c r="E2421" i="2"/>
  <c r="D2421" i="2"/>
  <c r="C2421" i="2"/>
  <c r="E2420" i="2"/>
  <c r="D2420" i="2"/>
  <c r="C2420" i="2"/>
  <c r="E2419" i="2"/>
  <c r="D2419" i="2"/>
  <c r="C2419" i="2"/>
  <c r="E2418" i="2"/>
  <c r="D2418" i="2"/>
  <c r="C2418" i="2"/>
  <c r="E2417" i="2"/>
  <c r="D2417" i="2"/>
  <c r="C2417" i="2"/>
  <c r="E2416" i="2"/>
  <c r="D2416" i="2"/>
  <c r="C2416" i="2"/>
  <c r="E2415" i="2"/>
  <c r="D2415" i="2"/>
  <c r="C2415" i="2"/>
  <c r="E2414" i="2"/>
  <c r="D2414" i="2"/>
  <c r="C2414" i="2"/>
  <c r="E2413" i="2"/>
  <c r="D2413" i="2"/>
  <c r="C2413" i="2"/>
  <c r="E2412" i="2"/>
  <c r="D2412" i="2"/>
  <c r="C2412" i="2"/>
  <c r="E2411" i="2"/>
  <c r="D2411" i="2"/>
  <c r="C2411" i="2"/>
  <c r="E2410" i="2"/>
  <c r="D2410" i="2"/>
  <c r="C2410" i="2"/>
  <c r="E2409" i="2"/>
  <c r="D2409" i="2"/>
  <c r="C2409" i="2"/>
  <c r="E2408" i="2"/>
  <c r="D2408" i="2"/>
  <c r="C2408" i="2"/>
  <c r="E2407" i="2"/>
  <c r="D2407" i="2"/>
  <c r="C2407" i="2"/>
  <c r="E2406" i="2"/>
  <c r="D2406" i="2"/>
  <c r="C2406" i="2"/>
  <c r="E2405" i="2"/>
  <c r="D2405" i="2"/>
  <c r="C2405" i="2"/>
  <c r="E2404" i="2"/>
  <c r="D2404" i="2"/>
  <c r="C2404" i="2"/>
  <c r="E2403" i="2"/>
  <c r="D2403" i="2"/>
  <c r="C2403" i="2"/>
  <c r="E2402" i="2"/>
  <c r="D2402" i="2"/>
  <c r="C2402" i="2"/>
  <c r="E2401" i="2"/>
  <c r="D2401" i="2"/>
  <c r="C2401" i="2"/>
  <c r="E2400" i="2"/>
  <c r="D2400" i="2"/>
  <c r="C2400" i="2"/>
  <c r="E2399" i="2"/>
  <c r="D2399" i="2"/>
  <c r="C2399" i="2"/>
  <c r="E2398" i="2"/>
  <c r="D2398" i="2"/>
  <c r="C2398" i="2"/>
  <c r="E2397" i="2"/>
  <c r="D2397" i="2"/>
  <c r="C2397" i="2"/>
  <c r="E2396" i="2"/>
  <c r="D2396" i="2"/>
  <c r="C2396" i="2"/>
  <c r="E2395" i="2"/>
  <c r="D2395" i="2"/>
  <c r="C2395" i="2"/>
  <c r="E2394" i="2"/>
  <c r="D2394" i="2"/>
  <c r="C2394" i="2"/>
  <c r="E2393" i="2"/>
  <c r="D2393" i="2"/>
  <c r="C2393" i="2"/>
  <c r="E2392" i="2"/>
  <c r="D2392" i="2"/>
  <c r="C2392" i="2"/>
  <c r="E2391" i="2"/>
  <c r="D2391" i="2"/>
  <c r="C2391" i="2"/>
  <c r="E2390" i="2"/>
  <c r="D2390" i="2"/>
  <c r="C2390" i="2"/>
  <c r="E2389" i="2"/>
  <c r="D2389" i="2"/>
  <c r="C2389" i="2"/>
  <c r="E2388" i="2"/>
  <c r="D2388" i="2"/>
  <c r="C2388" i="2"/>
  <c r="E2387" i="2"/>
  <c r="D2387" i="2"/>
  <c r="C2387" i="2"/>
  <c r="E2386" i="2"/>
  <c r="D2386" i="2"/>
  <c r="C2386" i="2"/>
  <c r="E2385" i="2"/>
  <c r="D2385" i="2"/>
  <c r="C2385" i="2"/>
  <c r="E2384" i="2"/>
  <c r="D2384" i="2"/>
  <c r="C2384" i="2"/>
  <c r="E2383" i="2"/>
  <c r="D2383" i="2"/>
  <c r="C2383" i="2"/>
  <c r="E2382" i="2"/>
  <c r="D2382" i="2"/>
  <c r="C2382" i="2"/>
  <c r="E2381" i="2"/>
  <c r="D2381" i="2"/>
  <c r="C2381" i="2"/>
  <c r="E2380" i="2"/>
  <c r="D2380" i="2"/>
  <c r="C2380" i="2"/>
  <c r="E2379" i="2"/>
  <c r="D2379" i="2"/>
  <c r="C2379" i="2"/>
  <c r="E2378" i="2"/>
  <c r="D2378" i="2"/>
  <c r="C2378" i="2"/>
  <c r="E2377" i="2"/>
  <c r="D2377" i="2"/>
  <c r="C2377" i="2"/>
  <c r="E2376" i="2"/>
  <c r="D2376" i="2"/>
  <c r="C2376" i="2"/>
  <c r="E2375" i="2"/>
  <c r="D2375" i="2"/>
  <c r="C2375" i="2"/>
  <c r="E2374" i="2"/>
  <c r="D2374" i="2"/>
  <c r="C2374" i="2"/>
  <c r="E2373" i="2"/>
  <c r="D2373" i="2"/>
  <c r="C2373" i="2"/>
  <c r="E2372" i="2"/>
  <c r="D2372" i="2"/>
  <c r="C2372" i="2"/>
  <c r="E2371" i="2"/>
  <c r="D2371" i="2"/>
  <c r="C2371" i="2"/>
  <c r="E2370" i="2"/>
  <c r="D2370" i="2"/>
  <c r="C2370" i="2"/>
  <c r="E2369" i="2"/>
  <c r="D2369" i="2"/>
  <c r="C2369" i="2"/>
  <c r="E2368" i="2"/>
  <c r="D2368" i="2"/>
  <c r="C2368" i="2"/>
  <c r="E2367" i="2"/>
  <c r="D2367" i="2"/>
  <c r="C2367" i="2"/>
  <c r="E2366" i="2"/>
  <c r="D2366" i="2"/>
  <c r="C2366" i="2"/>
  <c r="E2365" i="2"/>
  <c r="D2365" i="2"/>
  <c r="C2365" i="2"/>
  <c r="E2364" i="2"/>
  <c r="D2364" i="2"/>
  <c r="C2364" i="2"/>
  <c r="E2363" i="2"/>
  <c r="D2363" i="2"/>
  <c r="C2363" i="2"/>
  <c r="E2362" i="2"/>
  <c r="D2362" i="2"/>
  <c r="C2362" i="2"/>
  <c r="E2361" i="2"/>
  <c r="D2361" i="2"/>
  <c r="C2361" i="2"/>
  <c r="E2360" i="2"/>
  <c r="D2360" i="2"/>
  <c r="C2360" i="2"/>
  <c r="E2359" i="2"/>
  <c r="D2359" i="2"/>
  <c r="C2359" i="2"/>
  <c r="E2358" i="2"/>
  <c r="D2358" i="2"/>
  <c r="C2358" i="2"/>
  <c r="E2357" i="2"/>
  <c r="D2357" i="2"/>
  <c r="C2357" i="2"/>
  <c r="E2356" i="2"/>
  <c r="D2356" i="2"/>
  <c r="C2356" i="2"/>
  <c r="E2355" i="2"/>
  <c r="D2355" i="2"/>
  <c r="C2355" i="2"/>
  <c r="E2354" i="2"/>
  <c r="D2354" i="2"/>
  <c r="C2354" i="2"/>
  <c r="E2353" i="2"/>
  <c r="D2353" i="2"/>
  <c r="C2353" i="2"/>
  <c r="E2352" i="2"/>
  <c r="D2352" i="2"/>
  <c r="C2352" i="2"/>
  <c r="E2351" i="2"/>
  <c r="D2351" i="2"/>
  <c r="C2351" i="2"/>
  <c r="E2350" i="2"/>
  <c r="D2350" i="2"/>
  <c r="C2350" i="2"/>
  <c r="E2349" i="2"/>
  <c r="D2349" i="2"/>
  <c r="C2349" i="2"/>
  <c r="E2348" i="2"/>
  <c r="D2348" i="2"/>
  <c r="C2348" i="2"/>
  <c r="E2347" i="2"/>
  <c r="D2347" i="2"/>
  <c r="C2347" i="2"/>
  <c r="E2346" i="2"/>
  <c r="D2346" i="2"/>
  <c r="C2346" i="2"/>
  <c r="E2345" i="2"/>
  <c r="D2345" i="2"/>
  <c r="C2345" i="2"/>
  <c r="E2344" i="2"/>
  <c r="D2344" i="2"/>
  <c r="C2344" i="2"/>
  <c r="E2343" i="2"/>
  <c r="D2343" i="2"/>
  <c r="C2343" i="2"/>
  <c r="E2342" i="2"/>
  <c r="D2342" i="2"/>
  <c r="C2342" i="2"/>
  <c r="E2341" i="2"/>
  <c r="D2341" i="2"/>
  <c r="C2341" i="2"/>
  <c r="E2340" i="2"/>
  <c r="D2340" i="2"/>
  <c r="C2340" i="2"/>
  <c r="E2339" i="2"/>
  <c r="D2339" i="2"/>
  <c r="C2339" i="2"/>
  <c r="E2338" i="2"/>
  <c r="D2338" i="2"/>
  <c r="C2338" i="2"/>
  <c r="E2337" i="2"/>
  <c r="D2337" i="2"/>
  <c r="C2337" i="2"/>
  <c r="E2336" i="2"/>
  <c r="D2336" i="2"/>
  <c r="C2336" i="2"/>
  <c r="E2335" i="2"/>
  <c r="D2335" i="2"/>
  <c r="C2335" i="2"/>
  <c r="E2334" i="2"/>
  <c r="D2334" i="2"/>
  <c r="C2334" i="2"/>
  <c r="E2333" i="2"/>
  <c r="D2333" i="2"/>
  <c r="C2333" i="2"/>
  <c r="E2332" i="2"/>
  <c r="D2332" i="2"/>
  <c r="C2332" i="2"/>
  <c r="E2331" i="2"/>
  <c r="D2331" i="2"/>
  <c r="C2331" i="2"/>
  <c r="E2330" i="2"/>
  <c r="D2330" i="2"/>
  <c r="C2330" i="2"/>
  <c r="E2329" i="2"/>
  <c r="D2329" i="2"/>
  <c r="C2329" i="2"/>
  <c r="E2328" i="2"/>
  <c r="D2328" i="2"/>
  <c r="C2328" i="2"/>
  <c r="E2327" i="2"/>
  <c r="D2327" i="2"/>
  <c r="C2327" i="2"/>
  <c r="E2326" i="2"/>
  <c r="D2326" i="2"/>
  <c r="C2326" i="2"/>
  <c r="E2325" i="2"/>
  <c r="D2325" i="2"/>
  <c r="C2325" i="2"/>
  <c r="E2324" i="2"/>
  <c r="D2324" i="2"/>
  <c r="C2324" i="2"/>
  <c r="E2323" i="2"/>
  <c r="D2323" i="2"/>
  <c r="C2323" i="2"/>
  <c r="E2322" i="2"/>
  <c r="D2322" i="2"/>
  <c r="C2322" i="2"/>
  <c r="E2321" i="2"/>
  <c r="D2321" i="2"/>
  <c r="C2321" i="2"/>
  <c r="E2320" i="2"/>
  <c r="D2320" i="2"/>
  <c r="C2320" i="2"/>
  <c r="E2319" i="2"/>
  <c r="D2319" i="2"/>
  <c r="C2319" i="2"/>
  <c r="E2318" i="2"/>
  <c r="D2318" i="2"/>
  <c r="C2318" i="2"/>
  <c r="E2317" i="2"/>
  <c r="D2317" i="2"/>
  <c r="C2317" i="2"/>
  <c r="E2316" i="2"/>
  <c r="D2316" i="2"/>
  <c r="C2316" i="2"/>
  <c r="E2315" i="2"/>
  <c r="D2315" i="2"/>
  <c r="C2315" i="2"/>
  <c r="E2314" i="2"/>
  <c r="D2314" i="2"/>
  <c r="C2314" i="2"/>
  <c r="E2313" i="2"/>
  <c r="D2313" i="2"/>
  <c r="C2313" i="2"/>
  <c r="E2312" i="2"/>
  <c r="D2312" i="2"/>
  <c r="C2312" i="2"/>
  <c r="E2311" i="2"/>
  <c r="D2311" i="2"/>
  <c r="C2311" i="2"/>
  <c r="E2310" i="2"/>
  <c r="D2310" i="2"/>
  <c r="C2310" i="2"/>
  <c r="E2309" i="2"/>
  <c r="D2309" i="2"/>
  <c r="C2309" i="2"/>
  <c r="E2308" i="2"/>
  <c r="D2308" i="2"/>
  <c r="C2308" i="2"/>
  <c r="E2307" i="2"/>
  <c r="D2307" i="2"/>
  <c r="C2307" i="2"/>
  <c r="E2306" i="2"/>
  <c r="D2306" i="2"/>
  <c r="C2306" i="2"/>
  <c r="E2305" i="2"/>
  <c r="D2305" i="2"/>
  <c r="C2305" i="2"/>
  <c r="E2304" i="2"/>
  <c r="D2304" i="2"/>
  <c r="C2304" i="2"/>
  <c r="E2303" i="2"/>
  <c r="D2303" i="2"/>
  <c r="C2303" i="2"/>
  <c r="E2302" i="2"/>
  <c r="D2302" i="2"/>
  <c r="C2302" i="2"/>
  <c r="E2301" i="2"/>
  <c r="D2301" i="2"/>
  <c r="C2301" i="2"/>
  <c r="E2300" i="2"/>
  <c r="D2300" i="2"/>
  <c r="C2300" i="2"/>
  <c r="E2299" i="2"/>
  <c r="D2299" i="2"/>
  <c r="C2299" i="2"/>
  <c r="E2298" i="2"/>
  <c r="D2298" i="2"/>
  <c r="C2298" i="2"/>
  <c r="E2297" i="2"/>
  <c r="D2297" i="2"/>
  <c r="C2297" i="2"/>
  <c r="E2296" i="2"/>
  <c r="D2296" i="2"/>
  <c r="C2296" i="2"/>
  <c r="E2295" i="2"/>
  <c r="D2295" i="2"/>
  <c r="C2295" i="2"/>
  <c r="E2294" i="2"/>
  <c r="D2294" i="2"/>
  <c r="C2294" i="2"/>
  <c r="E2293" i="2"/>
  <c r="D2293" i="2"/>
  <c r="C2293" i="2"/>
  <c r="E2292" i="2"/>
  <c r="D2292" i="2"/>
  <c r="C2292" i="2"/>
  <c r="E2291" i="2"/>
  <c r="D2291" i="2"/>
  <c r="C2291" i="2"/>
  <c r="E2290" i="2"/>
  <c r="D2290" i="2"/>
  <c r="C2290" i="2"/>
  <c r="E2289" i="2"/>
  <c r="D2289" i="2"/>
  <c r="C2289" i="2"/>
  <c r="E2288" i="2"/>
  <c r="D2288" i="2"/>
  <c r="C2288" i="2"/>
  <c r="E2287" i="2"/>
  <c r="D2287" i="2"/>
  <c r="C2287" i="2"/>
  <c r="E2286" i="2"/>
  <c r="D2286" i="2"/>
  <c r="C2286" i="2"/>
  <c r="E2285" i="2"/>
  <c r="D2285" i="2"/>
  <c r="C2285" i="2"/>
  <c r="E2284" i="2"/>
  <c r="D2284" i="2"/>
  <c r="C2284" i="2"/>
  <c r="E2283" i="2"/>
  <c r="D2283" i="2"/>
  <c r="C2283" i="2"/>
  <c r="E2282" i="2"/>
  <c r="D2282" i="2"/>
  <c r="C2282" i="2"/>
  <c r="E2281" i="2"/>
  <c r="D2281" i="2"/>
  <c r="C2281" i="2"/>
  <c r="E2280" i="2"/>
  <c r="D2280" i="2"/>
  <c r="C2280" i="2"/>
  <c r="E2279" i="2"/>
  <c r="D2279" i="2"/>
  <c r="C2279" i="2"/>
  <c r="E2278" i="2"/>
  <c r="D2278" i="2"/>
  <c r="C2278" i="2"/>
  <c r="E2277" i="2"/>
  <c r="D2277" i="2"/>
  <c r="C2277" i="2"/>
  <c r="E2276" i="2"/>
  <c r="D2276" i="2"/>
  <c r="C2276" i="2"/>
  <c r="E2275" i="2"/>
  <c r="D2275" i="2"/>
  <c r="C2275" i="2"/>
  <c r="E2274" i="2"/>
  <c r="D2274" i="2"/>
  <c r="C2274" i="2"/>
  <c r="E2273" i="2"/>
  <c r="D2273" i="2"/>
  <c r="C2273" i="2"/>
  <c r="E2272" i="2"/>
  <c r="D2272" i="2"/>
  <c r="C2272" i="2"/>
  <c r="E2271" i="2"/>
  <c r="D2271" i="2"/>
  <c r="C2271" i="2"/>
  <c r="E2270" i="2"/>
  <c r="D2270" i="2"/>
  <c r="C2270" i="2"/>
  <c r="E2269" i="2"/>
  <c r="D2269" i="2"/>
  <c r="C2269" i="2"/>
  <c r="E2268" i="2"/>
  <c r="D2268" i="2"/>
  <c r="C2268" i="2"/>
  <c r="E2267" i="2"/>
  <c r="D2267" i="2"/>
  <c r="C2267" i="2"/>
  <c r="E2266" i="2"/>
  <c r="D2266" i="2"/>
  <c r="C2266" i="2"/>
  <c r="E2265" i="2"/>
  <c r="D2265" i="2"/>
  <c r="C2265" i="2"/>
  <c r="E2264" i="2"/>
  <c r="D2264" i="2"/>
  <c r="C2264" i="2"/>
  <c r="E2263" i="2"/>
  <c r="D2263" i="2"/>
  <c r="C2263" i="2"/>
  <c r="E2262" i="2"/>
  <c r="D2262" i="2"/>
  <c r="C2262" i="2"/>
  <c r="E2261" i="2"/>
  <c r="D2261" i="2"/>
  <c r="C2261" i="2"/>
  <c r="E2260" i="2"/>
  <c r="D2260" i="2"/>
  <c r="C2260" i="2"/>
  <c r="E2259" i="2"/>
  <c r="D2259" i="2"/>
  <c r="C2259" i="2"/>
  <c r="E2258" i="2"/>
  <c r="D2258" i="2"/>
  <c r="C2258" i="2"/>
  <c r="E2257" i="2"/>
  <c r="D2257" i="2"/>
  <c r="C2257" i="2"/>
  <c r="E2256" i="2"/>
  <c r="D2256" i="2"/>
  <c r="C2256" i="2"/>
  <c r="E2255" i="2"/>
  <c r="D2255" i="2"/>
  <c r="C2255" i="2"/>
  <c r="E2254" i="2"/>
  <c r="D2254" i="2"/>
  <c r="C2254" i="2"/>
  <c r="E2253" i="2"/>
  <c r="D2253" i="2"/>
  <c r="C2253" i="2"/>
  <c r="E2252" i="2"/>
  <c r="D2252" i="2"/>
  <c r="C2252" i="2"/>
  <c r="E2251" i="2"/>
  <c r="D2251" i="2"/>
  <c r="C2251" i="2"/>
  <c r="E2250" i="2"/>
  <c r="D2250" i="2"/>
  <c r="C2250" i="2"/>
  <c r="E2249" i="2"/>
  <c r="D2249" i="2"/>
  <c r="C2249" i="2"/>
  <c r="E2248" i="2"/>
  <c r="D2248" i="2"/>
  <c r="C2248" i="2"/>
  <c r="E2247" i="2"/>
  <c r="D2247" i="2"/>
  <c r="C2247" i="2"/>
  <c r="E2246" i="2"/>
  <c r="D2246" i="2"/>
  <c r="C2246" i="2"/>
  <c r="E2245" i="2"/>
  <c r="D2245" i="2"/>
  <c r="C2245" i="2"/>
  <c r="E2244" i="2"/>
  <c r="D2244" i="2"/>
  <c r="C2244" i="2"/>
  <c r="E2243" i="2"/>
  <c r="D2243" i="2"/>
  <c r="C2243" i="2"/>
  <c r="E2242" i="2"/>
  <c r="D2242" i="2"/>
  <c r="C2242" i="2"/>
  <c r="E2241" i="2"/>
  <c r="D2241" i="2"/>
  <c r="C2241" i="2"/>
  <c r="E2240" i="2"/>
  <c r="D2240" i="2"/>
  <c r="C2240" i="2"/>
  <c r="E2239" i="2"/>
  <c r="D2239" i="2"/>
  <c r="C2239" i="2"/>
  <c r="E2238" i="2"/>
  <c r="D2238" i="2"/>
  <c r="C2238" i="2"/>
  <c r="E2237" i="2"/>
  <c r="D2237" i="2"/>
  <c r="C2237" i="2"/>
  <c r="E2236" i="2"/>
  <c r="D2236" i="2"/>
  <c r="C2236" i="2"/>
  <c r="E2235" i="2"/>
  <c r="D2235" i="2"/>
  <c r="C2235" i="2"/>
  <c r="E2234" i="2"/>
  <c r="D2234" i="2"/>
  <c r="C2234" i="2"/>
  <c r="E2233" i="2"/>
  <c r="D2233" i="2"/>
  <c r="C2233" i="2"/>
  <c r="E2232" i="2"/>
  <c r="D2232" i="2"/>
  <c r="C2232" i="2"/>
  <c r="E2231" i="2"/>
  <c r="D2231" i="2"/>
  <c r="C2231" i="2"/>
  <c r="E2230" i="2"/>
  <c r="D2230" i="2"/>
  <c r="C2230" i="2"/>
  <c r="E2229" i="2"/>
  <c r="D2229" i="2"/>
  <c r="C2229" i="2"/>
  <c r="E2228" i="2"/>
  <c r="D2228" i="2"/>
  <c r="C2228" i="2"/>
  <c r="E2227" i="2"/>
  <c r="D2227" i="2"/>
  <c r="C2227" i="2"/>
  <c r="E2226" i="2"/>
  <c r="D2226" i="2"/>
  <c r="C2226" i="2"/>
  <c r="E2225" i="2"/>
  <c r="D2225" i="2"/>
  <c r="C2225" i="2"/>
  <c r="E2224" i="2"/>
  <c r="D2224" i="2"/>
  <c r="C2224" i="2"/>
  <c r="E2223" i="2"/>
  <c r="D2223" i="2"/>
  <c r="C2223" i="2"/>
  <c r="E2222" i="2"/>
  <c r="D2222" i="2"/>
  <c r="C2222" i="2"/>
  <c r="E2221" i="2"/>
  <c r="D2221" i="2"/>
  <c r="C2221" i="2"/>
  <c r="E2220" i="2"/>
  <c r="D2220" i="2"/>
  <c r="C2220" i="2"/>
  <c r="E2219" i="2"/>
  <c r="D2219" i="2"/>
  <c r="C2219" i="2"/>
  <c r="E2218" i="2"/>
  <c r="D2218" i="2"/>
  <c r="C2218" i="2"/>
  <c r="E2217" i="2"/>
  <c r="D2217" i="2"/>
  <c r="C2217" i="2"/>
  <c r="E2216" i="2"/>
  <c r="D2216" i="2"/>
  <c r="C2216" i="2"/>
  <c r="E2215" i="2"/>
  <c r="D2215" i="2"/>
  <c r="C2215" i="2"/>
  <c r="E2214" i="2"/>
  <c r="D2214" i="2"/>
  <c r="C2214" i="2"/>
  <c r="E2213" i="2"/>
  <c r="D2213" i="2"/>
  <c r="C2213" i="2"/>
  <c r="E2212" i="2"/>
  <c r="D2212" i="2"/>
  <c r="C2212" i="2"/>
  <c r="E2211" i="2"/>
  <c r="D2211" i="2"/>
  <c r="C2211" i="2"/>
  <c r="E2210" i="2"/>
  <c r="D2210" i="2"/>
  <c r="C2210" i="2"/>
  <c r="E2209" i="2"/>
  <c r="D2209" i="2"/>
  <c r="C2209" i="2"/>
  <c r="E2208" i="2"/>
  <c r="D2208" i="2"/>
  <c r="C2208" i="2"/>
  <c r="E2207" i="2"/>
  <c r="D2207" i="2"/>
  <c r="C2207" i="2"/>
  <c r="E2206" i="2"/>
  <c r="D2206" i="2"/>
  <c r="C2206" i="2"/>
  <c r="E2205" i="2"/>
  <c r="D2205" i="2"/>
  <c r="C2205" i="2"/>
  <c r="E2204" i="2"/>
  <c r="D2204" i="2"/>
  <c r="C2204" i="2"/>
  <c r="E2203" i="2"/>
  <c r="D2203" i="2"/>
  <c r="C2203" i="2"/>
  <c r="E2202" i="2"/>
  <c r="D2202" i="2"/>
  <c r="C2202" i="2"/>
  <c r="E2201" i="2"/>
  <c r="D2201" i="2"/>
  <c r="C2201" i="2"/>
  <c r="E2200" i="2"/>
  <c r="D2200" i="2"/>
  <c r="C2200" i="2"/>
  <c r="E2199" i="2"/>
  <c r="D2199" i="2"/>
  <c r="C2199" i="2"/>
  <c r="E2198" i="2"/>
  <c r="D2198" i="2"/>
  <c r="C2198" i="2"/>
  <c r="E2197" i="2"/>
  <c r="D2197" i="2"/>
  <c r="C2197" i="2"/>
  <c r="E2196" i="2"/>
  <c r="D2196" i="2"/>
  <c r="C2196" i="2"/>
  <c r="E2195" i="2"/>
  <c r="D2195" i="2"/>
  <c r="C2195" i="2"/>
  <c r="E2194" i="2"/>
  <c r="D2194" i="2"/>
  <c r="C2194" i="2"/>
  <c r="E2193" i="2"/>
  <c r="D2193" i="2"/>
  <c r="C2193" i="2"/>
  <c r="E2192" i="2"/>
  <c r="D2192" i="2"/>
  <c r="C2192" i="2"/>
  <c r="E2191" i="2"/>
  <c r="D2191" i="2"/>
  <c r="C2191" i="2"/>
  <c r="E2190" i="2"/>
  <c r="D2190" i="2"/>
  <c r="C2190" i="2"/>
  <c r="E2189" i="2"/>
  <c r="D2189" i="2"/>
  <c r="C2189" i="2"/>
  <c r="E2188" i="2"/>
  <c r="D2188" i="2"/>
  <c r="C2188" i="2"/>
  <c r="E2187" i="2"/>
  <c r="D2187" i="2"/>
  <c r="C2187" i="2"/>
  <c r="E2186" i="2"/>
  <c r="D2186" i="2"/>
  <c r="C2186" i="2"/>
  <c r="E2185" i="2"/>
  <c r="D2185" i="2"/>
  <c r="C2185" i="2"/>
  <c r="E2184" i="2"/>
  <c r="D2184" i="2"/>
  <c r="C2184" i="2"/>
  <c r="E2183" i="2"/>
  <c r="D2183" i="2"/>
  <c r="C2183" i="2"/>
  <c r="E2182" i="2"/>
  <c r="D2182" i="2"/>
  <c r="C2182" i="2"/>
  <c r="E2181" i="2"/>
  <c r="D2181" i="2"/>
  <c r="C2181" i="2"/>
  <c r="E2180" i="2"/>
  <c r="D2180" i="2"/>
  <c r="C2180" i="2"/>
  <c r="E2179" i="2"/>
  <c r="D2179" i="2"/>
  <c r="C2179" i="2"/>
  <c r="E2178" i="2"/>
  <c r="D2178" i="2"/>
  <c r="C2178" i="2"/>
  <c r="E2177" i="2"/>
  <c r="D2177" i="2"/>
  <c r="C2177" i="2"/>
  <c r="E2176" i="2"/>
  <c r="D2176" i="2"/>
  <c r="C2176" i="2"/>
  <c r="E2175" i="2"/>
  <c r="D2175" i="2"/>
  <c r="C2175" i="2"/>
  <c r="E2174" i="2"/>
  <c r="D2174" i="2"/>
  <c r="C2174" i="2"/>
  <c r="E2173" i="2"/>
  <c r="D2173" i="2"/>
  <c r="C2173" i="2"/>
  <c r="E2172" i="2"/>
  <c r="D2172" i="2"/>
  <c r="C2172" i="2"/>
  <c r="E2171" i="2"/>
  <c r="D2171" i="2"/>
  <c r="C2171" i="2"/>
  <c r="E2170" i="2"/>
  <c r="D2170" i="2"/>
  <c r="C2170" i="2"/>
  <c r="E2169" i="2"/>
  <c r="D2169" i="2"/>
  <c r="C2169" i="2"/>
  <c r="E2168" i="2"/>
  <c r="D2168" i="2"/>
  <c r="C2168" i="2"/>
  <c r="E2167" i="2"/>
  <c r="D2167" i="2"/>
  <c r="C2167" i="2"/>
  <c r="E2166" i="2"/>
  <c r="D2166" i="2"/>
  <c r="C2166" i="2"/>
  <c r="E2165" i="2"/>
  <c r="D2165" i="2"/>
  <c r="C2165" i="2"/>
  <c r="E2164" i="2"/>
  <c r="D2164" i="2"/>
  <c r="C2164" i="2"/>
  <c r="E2163" i="2"/>
  <c r="D2163" i="2"/>
  <c r="C2163" i="2"/>
  <c r="E2162" i="2"/>
  <c r="D2162" i="2"/>
  <c r="C2162" i="2"/>
  <c r="E2161" i="2"/>
  <c r="D2161" i="2"/>
  <c r="C2161" i="2"/>
  <c r="E2160" i="2"/>
  <c r="D2160" i="2"/>
  <c r="C2160" i="2"/>
  <c r="E2159" i="2"/>
  <c r="D2159" i="2"/>
  <c r="C2159" i="2"/>
  <c r="E2158" i="2"/>
  <c r="D2158" i="2"/>
  <c r="C2158" i="2"/>
  <c r="E2157" i="2"/>
  <c r="D2157" i="2"/>
  <c r="C2157" i="2"/>
  <c r="E2156" i="2"/>
  <c r="D2156" i="2"/>
  <c r="C2156" i="2"/>
  <c r="E2155" i="2"/>
  <c r="D2155" i="2"/>
  <c r="C2155" i="2"/>
  <c r="E2154" i="2"/>
  <c r="D2154" i="2"/>
  <c r="C2154" i="2"/>
  <c r="E2153" i="2"/>
  <c r="D2153" i="2"/>
  <c r="C2153" i="2"/>
  <c r="E2152" i="2"/>
  <c r="D2152" i="2"/>
  <c r="C2152" i="2"/>
  <c r="E2151" i="2"/>
  <c r="D2151" i="2"/>
  <c r="C2151" i="2"/>
  <c r="E2150" i="2"/>
  <c r="D2150" i="2"/>
  <c r="C2150" i="2"/>
  <c r="E2149" i="2"/>
  <c r="D2149" i="2"/>
  <c r="C2149" i="2"/>
  <c r="E2148" i="2"/>
  <c r="D2148" i="2"/>
  <c r="C2148" i="2"/>
  <c r="E2147" i="2"/>
  <c r="D2147" i="2"/>
  <c r="C2147" i="2"/>
  <c r="E2146" i="2"/>
  <c r="D2146" i="2"/>
  <c r="C2146" i="2"/>
  <c r="E2145" i="2"/>
  <c r="D2145" i="2"/>
  <c r="C2145" i="2"/>
  <c r="E2144" i="2"/>
  <c r="D2144" i="2"/>
  <c r="C2144" i="2"/>
  <c r="E2143" i="2"/>
  <c r="D2143" i="2"/>
  <c r="C2143" i="2"/>
  <c r="E2142" i="2"/>
  <c r="D2142" i="2"/>
  <c r="C2142" i="2"/>
  <c r="E2141" i="2"/>
  <c r="D2141" i="2"/>
  <c r="C2141" i="2"/>
  <c r="E2140" i="2"/>
  <c r="D2140" i="2"/>
  <c r="C2140" i="2"/>
  <c r="E2139" i="2"/>
  <c r="D2139" i="2"/>
  <c r="C2139" i="2"/>
  <c r="E2138" i="2"/>
  <c r="D2138" i="2"/>
  <c r="C2138" i="2"/>
  <c r="E2137" i="2"/>
  <c r="D2137" i="2"/>
  <c r="C2137" i="2"/>
  <c r="E2136" i="2"/>
  <c r="D2136" i="2"/>
  <c r="C2136" i="2"/>
  <c r="E2135" i="2"/>
  <c r="D2135" i="2"/>
  <c r="C2135" i="2"/>
  <c r="E2134" i="2"/>
  <c r="D2134" i="2"/>
  <c r="C2134" i="2"/>
  <c r="E2133" i="2"/>
  <c r="D2133" i="2"/>
  <c r="C2133" i="2"/>
  <c r="E2132" i="2"/>
  <c r="D2132" i="2"/>
  <c r="C2132" i="2"/>
  <c r="E2131" i="2"/>
  <c r="D2131" i="2"/>
  <c r="C2131" i="2"/>
  <c r="E2130" i="2"/>
  <c r="D2130" i="2"/>
  <c r="C2130" i="2"/>
  <c r="E2129" i="2"/>
  <c r="D2129" i="2"/>
  <c r="C2129" i="2"/>
  <c r="E2128" i="2"/>
  <c r="D2128" i="2"/>
  <c r="C2128" i="2"/>
  <c r="E2127" i="2"/>
  <c r="D2127" i="2"/>
  <c r="C2127" i="2"/>
  <c r="E2126" i="2"/>
  <c r="D2126" i="2"/>
  <c r="C2126" i="2"/>
  <c r="E2125" i="2"/>
  <c r="D2125" i="2"/>
  <c r="C2125" i="2"/>
  <c r="E2124" i="2"/>
  <c r="D2124" i="2"/>
  <c r="C2124" i="2"/>
  <c r="E2123" i="2"/>
  <c r="D2123" i="2"/>
  <c r="C2123" i="2"/>
  <c r="E2122" i="2"/>
  <c r="D2122" i="2"/>
  <c r="C2122" i="2"/>
  <c r="E2121" i="2"/>
  <c r="D2121" i="2"/>
  <c r="C2121" i="2"/>
  <c r="E2120" i="2"/>
  <c r="D2120" i="2"/>
  <c r="C2120" i="2"/>
  <c r="E2119" i="2"/>
  <c r="D2119" i="2"/>
  <c r="C2119" i="2"/>
  <c r="E2118" i="2"/>
  <c r="D2118" i="2"/>
  <c r="C2118" i="2"/>
  <c r="E2117" i="2"/>
  <c r="D2117" i="2"/>
  <c r="C2117" i="2"/>
  <c r="E2116" i="2"/>
  <c r="D2116" i="2"/>
  <c r="C2116" i="2"/>
  <c r="E2115" i="2"/>
  <c r="D2115" i="2"/>
  <c r="C2115" i="2"/>
  <c r="E2114" i="2"/>
  <c r="D2114" i="2"/>
  <c r="C2114" i="2"/>
  <c r="E2113" i="2"/>
  <c r="D2113" i="2"/>
  <c r="C2113" i="2"/>
  <c r="E2112" i="2"/>
  <c r="D2112" i="2"/>
  <c r="C2112" i="2"/>
  <c r="E2111" i="2"/>
  <c r="D2111" i="2"/>
  <c r="C2111" i="2"/>
  <c r="E2110" i="2"/>
  <c r="D2110" i="2"/>
  <c r="C2110" i="2"/>
  <c r="E2109" i="2"/>
  <c r="D2109" i="2"/>
  <c r="C2109" i="2"/>
  <c r="E2108" i="2"/>
  <c r="D2108" i="2"/>
  <c r="C2108" i="2"/>
  <c r="E2107" i="2"/>
  <c r="D2107" i="2"/>
  <c r="C2107" i="2"/>
  <c r="E2106" i="2"/>
  <c r="D2106" i="2"/>
  <c r="C2106" i="2"/>
  <c r="E2105" i="2"/>
  <c r="D2105" i="2"/>
  <c r="C2105" i="2"/>
  <c r="E2104" i="2"/>
  <c r="D2104" i="2"/>
  <c r="C2104" i="2"/>
  <c r="E2103" i="2"/>
  <c r="D2103" i="2"/>
  <c r="C2103" i="2"/>
  <c r="E2102" i="2"/>
  <c r="D2102" i="2"/>
  <c r="C2102" i="2"/>
  <c r="E2101" i="2"/>
  <c r="D2101" i="2"/>
  <c r="C2101" i="2"/>
  <c r="E2100" i="2"/>
  <c r="D2100" i="2"/>
  <c r="C2100" i="2"/>
  <c r="E2099" i="2"/>
  <c r="D2099" i="2"/>
  <c r="C2099" i="2"/>
  <c r="E2098" i="2"/>
  <c r="D2098" i="2"/>
  <c r="C2098" i="2"/>
  <c r="E2097" i="2"/>
  <c r="D2097" i="2"/>
  <c r="C2097" i="2"/>
  <c r="E2096" i="2"/>
  <c r="D2096" i="2"/>
  <c r="C2096" i="2"/>
  <c r="E2095" i="2"/>
  <c r="D2095" i="2"/>
  <c r="C2095" i="2"/>
  <c r="E2094" i="2"/>
  <c r="D2094" i="2"/>
  <c r="C2094" i="2"/>
  <c r="E2093" i="2"/>
  <c r="D2093" i="2"/>
  <c r="C2093" i="2"/>
  <c r="E2092" i="2"/>
  <c r="D2092" i="2"/>
  <c r="C2092" i="2"/>
  <c r="E2091" i="2"/>
  <c r="D2091" i="2"/>
  <c r="C2091" i="2"/>
  <c r="E2090" i="2"/>
  <c r="D2090" i="2"/>
  <c r="C2090" i="2"/>
  <c r="E2089" i="2"/>
  <c r="D2089" i="2"/>
  <c r="C2089" i="2"/>
  <c r="E2088" i="2"/>
  <c r="D2088" i="2"/>
  <c r="C2088" i="2"/>
  <c r="E2087" i="2"/>
  <c r="D2087" i="2"/>
  <c r="C2087" i="2"/>
  <c r="E2086" i="2"/>
  <c r="D2086" i="2"/>
  <c r="C2086" i="2"/>
  <c r="E2085" i="2"/>
  <c r="D2085" i="2"/>
  <c r="C2085" i="2"/>
  <c r="E2084" i="2"/>
  <c r="D2084" i="2"/>
  <c r="C2084" i="2"/>
  <c r="E2083" i="2"/>
  <c r="D2083" i="2"/>
  <c r="C2083" i="2"/>
  <c r="E2082" i="2"/>
  <c r="D2082" i="2"/>
  <c r="C2082" i="2"/>
  <c r="E2081" i="2"/>
  <c r="D2081" i="2"/>
  <c r="C2081" i="2"/>
  <c r="E2080" i="2"/>
  <c r="D2080" i="2"/>
  <c r="C2080" i="2"/>
  <c r="E2079" i="2"/>
  <c r="D2079" i="2"/>
  <c r="C2079" i="2"/>
  <c r="E2078" i="2"/>
  <c r="D2078" i="2"/>
  <c r="C2078" i="2"/>
  <c r="E2077" i="2"/>
  <c r="D2077" i="2"/>
  <c r="C2077" i="2"/>
  <c r="E2076" i="2"/>
  <c r="D2076" i="2"/>
  <c r="C2076" i="2"/>
  <c r="E2075" i="2"/>
  <c r="D2075" i="2"/>
  <c r="C2075" i="2"/>
  <c r="E2074" i="2"/>
  <c r="D2074" i="2"/>
  <c r="C2074" i="2"/>
  <c r="E2073" i="2"/>
  <c r="D2073" i="2"/>
  <c r="C2073" i="2"/>
  <c r="E2072" i="2"/>
  <c r="D2072" i="2"/>
  <c r="C2072" i="2"/>
  <c r="E2071" i="2"/>
  <c r="D2071" i="2"/>
  <c r="C2071" i="2"/>
  <c r="E2070" i="2"/>
  <c r="D2070" i="2"/>
  <c r="C2070" i="2"/>
  <c r="E2069" i="2"/>
  <c r="D2069" i="2"/>
  <c r="C2069" i="2"/>
  <c r="E2068" i="2"/>
  <c r="D2068" i="2"/>
  <c r="C2068" i="2"/>
  <c r="E2067" i="2"/>
  <c r="D2067" i="2"/>
  <c r="C2067" i="2"/>
  <c r="E2066" i="2"/>
  <c r="D2066" i="2"/>
  <c r="C2066" i="2"/>
  <c r="E2065" i="2"/>
  <c r="D2065" i="2"/>
  <c r="C2065" i="2"/>
  <c r="E2064" i="2"/>
  <c r="D2064" i="2"/>
  <c r="C2064" i="2"/>
  <c r="E2063" i="2"/>
  <c r="D2063" i="2"/>
  <c r="C2063" i="2"/>
  <c r="E2062" i="2"/>
  <c r="D2062" i="2"/>
  <c r="C2062" i="2"/>
  <c r="E2061" i="2"/>
  <c r="D2061" i="2"/>
  <c r="C2061" i="2"/>
  <c r="E2060" i="2"/>
  <c r="D2060" i="2"/>
  <c r="C2060" i="2"/>
  <c r="E2059" i="2"/>
  <c r="D2059" i="2"/>
  <c r="C2059" i="2"/>
  <c r="E2058" i="2"/>
  <c r="D2058" i="2"/>
  <c r="C2058" i="2"/>
  <c r="E2057" i="2"/>
  <c r="D2057" i="2"/>
  <c r="C2057" i="2"/>
  <c r="E2056" i="2"/>
  <c r="D2056" i="2"/>
  <c r="C2056" i="2"/>
  <c r="E2055" i="2"/>
  <c r="D2055" i="2"/>
  <c r="C2055" i="2"/>
  <c r="E2054" i="2"/>
  <c r="D2054" i="2"/>
  <c r="C2054" i="2"/>
  <c r="E2053" i="2"/>
  <c r="D2053" i="2"/>
  <c r="C2053" i="2"/>
  <c r="E2052" i="2"/>
  <c r="D2052" i="2"/>
  <c r="C2052" i="2"/>
  <c r="E2051" i="2"/>
  <c r="D2051" i="2"/>
  <c r="C2051" i="2"/>
  <c r="E2050" i="2"/>
  <c r="D2050" i="2"/>
  <c r="C2050" i="2"/>
  <c r="E2049" i="2"/>
  <c r="D2049" i="2"/>
  <c r="C2049" i="2"/>
  <c r="E2048" i="2"/>
  <c r="D2048" i="2"/>
  <c r="C2048" i="2"/>
  <c r="E2047" i="2"/>
  <c r="D2047" i="2"/>
  <c r="C2047" i="2"/>
  <c r="E2046" i="2"/>
  <c r="D2046" i="2"/>
  <c r="C2046" i="2"/>
  <c r="E2045" i="2"/>
  <c r="D2045" i="2"/>
  <c r="C2045" i="2"/>
  <c r="E2044" i="2"/>
  <c r="D2044" i="2"/>
  <c r="C2044" i="2"/>
  <c r="E2043" i="2"/>
  <c r="D2043" i="2"/>
  <c r="C2043" i="2"/>
  <c r="E2042" i="2"/>
  <c r="D2042" i="2"/>
  <c r="C2042" i="2"/>
  <c r="E2041" i="2"/>
  <c r="D2041" i="2"/>
  <c r="C2041" i="2"/>
  <c r="E2040" i="2"/>
  <c r="D2040" i="2"/>
  <c r="C2040" i="2"/>
  <c r="E2039" i="2"/>
  <c r="D2039" i="2"/>
  <c r="C2039" i="2"/>
  <c r="E2038" i="2"/>
  <c r="D2038" i="2"/>
  <c r="C2038" i="2"/>
  <c r="E2037" i="2"/>
  <c r="D2037" i="2"/>
  <c r="C2037" i="2"/>
  <c r="E2036" i="2"/>
  <c r="D2036" i="2"/>
  <c r="C2036" i="2"/>
  <c r="E2035" i="2"/>
  <c r="D2035" i="2"/>
  <c r="C2035" i="2"/>
  <c r="E2034" i="2"/>
  <c r="D2034" i="2"/>
  <c r="C2034" i="2"/>
  <c r="E2033" i="2"/>
  <c r="D2033" i="2"/>
  <c r="C2033" i="2"/>
  <c r="E2032" i="2"/>
  <c r="D2032" i="2"/>
  <c r="C2032" i="2"/>
  <c r="E2031" i="2"/>
  <c r="D2031" i="2"/>
  <c r="C2031" i="2"/>
  <c r="E2030" i="2"/>
  <c r="D2030" i="2"/>
  <c r="C2030" i="2"/>
  <c r="E2029" i="2"/>
  <c r="D2029" i="2"/>
  <c r="C2029" i="2"/>
  <c r="E2028" i="2"/>
  <c r="D2028" i="2"/>
  <c r="C2028" i="2"/>
  <c r="E2027" i="2"/>
  <c r="D2027" i="2"/>
  <c r="C2027" i="2"/>
  <c r="E2026" i="2"/>
  <c r="D2026" i="2"/>
  <c r="C2026" i="2"/>
  <c r="E2025" i="2"/>
  <c r="D2025" i="2"/>
  <c r="C2025" i="2"/>
  <c r="E2024" i="2"/>
  <c r="D2024" i="2"/>
  <c r="C2024" i="2"/>
  <c r="E2023" i="2"/>
  <c r="D2023" i="2"/>
  <c r="C2023" i="2"/>
  <c r="E2022" i="2"/>
  <c r="D2022" i="2"/>
  <c r="C2022" i="2"/>
  <c r="E2021" i="2"/>
  <c r="D2021" i="2"/>
  <c r="C2021" i="2"/>
  <c r="E2020" i="2"/>
  <c r="D2020" i="2"/>
  <c r="C2020" i="2"/>
  <c r="E2019" i="2"/>
  <c r="D2019" i="2"/>
  <c r="C2019" i="2"/>
  <c r="E2018" i="2"/>
  <c r="D2018" i="2"/>
  <c r="C2018" i="2"/>
  <c r="E2017" i="2"/>
  <c r="D2017" i="2"/>
  <c r="C2017" i="2"/>
  <c r="E2016" i="2"/>
  <c r="D2016" i="2"/>
  <c r="C2016" i="2"/>
  <c r="E2015" i="2"/>
  <c r="D2015" i="2"/>
  <c r="C2015" i="2"/>
  <c r="E2014" i="2"/>
  <c r="D2014" i="2"/>
  <c r="C2014" i="2"/>
  <c r="E2013" i="2"/>
  <c r="D2013" i="2"/>
  <c r="C2013" i="2"/>
  <c r="E2012" i="2"/>
  <c r="D2012" i="2"/>
  <c r="C2012" i="2"/>
  <c r="E2011" i="2"/>
  <c r="D2011" i="2"/>
  <c r="C2011" i="2"/>
  <c r="E2010" i="2"/>
  <c r="D2010" i="2"/>
  <c r="C2010" i="2"/>
  <c r="E2009" i="2"/>
  <c r="D2009" i="2"/>
  <c r="C2009" i="2"/>
  <c r="E2008" i="2"/>
  <c r="D2008" i="2"/>
  <c r="C2008" i="2"/>
  <c r="E2007" i="2"/>
  <c r="D2007" i="2"/>
  <c r="C2007" i="2"/>
  <c r="E2006" i="2"/>
  <c r="D2006" i="2"/>
  <c r="C2006" i="2"/>
  <c r="E2005" i="2"/>
  <c r="D2005" i="2"/>
  <c r="C2005" i="2"/>
  <c r="E2004" i="2"/>
  <c r="D2004" i="2"/>
  <c r="C2004" i="2"/>
  <c r="E2003" i="2"/>
  <c r="D2003" i="2"/>
  <c r="C2003" i="2"/>
  <c r="E2002" i="2"/>
  <c r="D2002" i="2"/>
  <c r="C2002" i="2"/>
  <c r="E2001" i="2"/>
  <c r="D2001" i="2"/>
  <c r="C2001" i="2"/>
  <c r="E2000" i="2"/>
  <c r="D2000" i="2"/>
  <c r="C2000" i="2"/>
  <c r="E1999" i="2"/>
  <c r="D1999" i="2"/>
  <c r="C1999" i="2"/>
  <c r="E1998" i="2"/>
  <c r="D1998" i="2"/>
  <c r="C1998" i="2"/>
  <c r="E1997" i="2"/>
  <c r="D1997" i="2"/>
  <c r="C1997" i="2"/>
  <c r="E1996" i="2"/>
  <c r="D1996" i="2"/>
  <c r="C1996" i="2"/>
  <c r="E1995" i="2"/>
  <c r="D1995" i="2"/>
  <c r="C1995" i="2"/>
  <c r="E1994" i="2"/>
  <c r="D1994" i="2"/>
  <c r="C1994" i="2"/>
  <c r="E1993" i="2"/>
  <c r="D1993" i="2"/>
  <c r="C1993" i="2"/>
  <c r="E1992" i="2"/>
  <c r="D1992" i="2"/>
  <c r="C1992" i="2"/>
  <c r="E1991" i="2"/>
  <c r="D1991" i="2"/>
  <c r="C1991" i="2"/>
  <c r="E1990" i="2"/>
  <c r="D1990" i="2"/>
  <c r="C1990" i="2"/>
  <c r="E1989" i="2"/>
  <c r="D1989" i="2"/>
  <c r="C1989" i="2"/>
  <c r="E1988" i="2"/>
  <c r="D1988" i="2"/>
  <c r="C1988" i="2"/>
  <c r="E1987" i="2"/>
  <c r="D1987" i="2"/>
  <c r="C1987" i="2"/>
  <c r="E1986" i="2"/>
  <c r="D1986" i="2"/>
  <c r="C1986" i="2"/>
  <c r="E1985" i="2"/>
  <c r="D1985" i="2"/>
  <c r="C1985" i="2"/>
  <c r="E1984" i="2"/>
  <c r="D1984" i="2"/>
  <c r="C1984" i="2"/>
  <c r="E1983" i="2"/>
  <c r="D1983" i="2"/>
  <c r="C1983" i="2"/>
  <c r="E1982" i="2"/>
  <c r="D1982" i="2"/>
  <c r="C1982" i="2"/>
  <c r="E1981" i="2"/>
  <c r="D1981" i="2"/>
  <c r="C1981" i="2"/>
  <c r="E1980" i="2"/>
  <c r="D1980" i="2"/>
  <c r="C1980" i="2"/>
  <c r="E1979" i="2"/>
  <c r="D1979" i="2"/>
  <c r="C1979" i="2"/>
  <c r="E1978" i="2"/>
  <c r="D1978" i="2"/>
  <c r="C1978" i="2"/>
  <c r="E1977" i="2"/>
  <c r="D1977" i="2"/>
  <c r="C1977" i="2"/>
  <c r="E1976" i="2"/>
  <c r="D1976" i="2"/>
  <c r="C1976" i="2"/>
  <c r="E1975" i="2"/>
  <c r="D1975" i="2"/>
  <c r="C1975" i="2"/>
  <c r="E1974" i="2"/>
  <c r="D1974" i="2"/>
  <c r="C1974" i="2"/>
  <c r="E1973" i="2"/>
  <c r="D1973" i="2"/>
  <c r="C1973" i="2"/>
  <c r="E1972" i="2"/>
  <c r="D1972" i="2"/>
  <c r="C1972" i="2"/>
  <c r="E1971" i="2"/>
  <c r="D1971" i="2"/>
  <c r="C1971" i="2"/>
  <c r="E1970" i="2"/>
  <c r="D1970" i="2"/>
  <c r="C1970" i="2"/>
  <c r="E1969" i="2"/>
  <c r="D1969" i="2"/>
  <c r="C1969" i="2"/>
  <c r="E1968" i="2"/>
  <c r="D1968" i="2"/>
  <c r="C1968" i="2"/>
  <c r="E1967" i="2"/>
  <c r="D1967" i="2"/>
  <c r="C1967" i="2"/>
  <c r="E1966" i="2"/>
  <c r="D1966" i="2"/>
  <c r="C1966" i="2"/>
  <c r="E1965" i="2"/>
  <c r="D1965" i="2"/>
  <c r="C1965" i="2"/>
  <c r="E1964" i="2"/>
  <c r="D1964" i="2"/>
  <c r="C1964" i="2"/>
  <c r="E1963" i="2"/>
  <c r="D1963" i="2"/>
  <c r="C1963" i="2"/>
  <c r="E1962" i="2"/>
  <c r="D1962" i="2"/>
  <c r="C1962" i="2"/>
  <c r="E1961" i="2"/>
  <c r="D1961" i="2"/>
  <c r="C1961" i="2"/>
  <c r="E1960" i="2"/>
  <c r="D1960" i="2"/>
  <c r="C1960" i="2"/>
  <c r="E1959" i="2"/>
  <c r="D1959" i="2"/>
  <c r="C1959" i="2"/>
  <c r="E1958" i="2"/>
  <c r="D1958" i="2"/>
  <c r="C1958" i="2"/>
  <c r="E1957" i="2"/>
  <c r="D1957" i="2"/>
  <c r="C1957" i="2"/>
  <c r="E1956" i="2"/>
  <c r="D1956" i="2"/>
  <c r="C1956" i="2"/>
  <c r="E1955" i="2"/>
  <c r="D1955" i="2"/>
  <c r="C1955" i="2"/>
  <c r="E1954" i="2"/>
  <c r="D1954" i="2"/>
  <c r="C1954" i="2"/>
  <c r="E1953" i="2"/>
  <c r="D1953" i="2"/>
  <c r="C1953" i="2"/>
  <c r="E1952" i="2"/>
  <c r="D1952" i="2"/>
  <c r="C1952" i="2"/>
  <c r="E1951" i="2"/>
  <c r="D1951" i="2"/>
  <c r="C1951" i="2"/>
  <c r="E1950" i="2"/>
  <c r="D1950" i="2"/>
  <c r="C1950" i="2"/>
  <c r="E1949" i="2"/>
  <c r="D1949" i="2"/>
  <c r="C1949" i="2"/>
  <c r="E1948" i="2"/>
  <c r="D1948" i="2"/>
  <c r="C1948" i="2"/>
  <c r="E1947" i="2"/>
  <c r="D1947" i="2"/>
  <c r="C1947" i="2"/>
  <c r="E1946" i="2"/>
  <c r="D1946" i="2"/>
  <c r="C1946" i="2"/>
  <c r="E1945" i="2"/>
  <c r="D1945" i="2"/>
  <c r="C1945" i="2"/>
  <c r="E1944" i="2"/>
  <c r="D1944" i="2"/>
  <c r="C1944" i="2"/>
  <c r="E1943" i="2"/>
  <c r="D1943" i="2"/>
  <c r="C1943" i="2"/>
  <c r="E1942" i="2"/>
  <c r="D1942" i="2"/>
  <c r="C1942" i="2"/>
  <c r="E1941" i="2"/>
  <c r="D1941" i="2"/>
  <c r="C1941" i="2"/>
  <c r="E1940" i="2"/>
  <c r="D1940" i="2"/>
  <c r="C1940" i="2"/>
  <c r="E1939" i="2"/>
  <c r="D1939" i="2"/>
  <c r="C1939" i="2"/>
  <c r="E1938" i="2"/>
  <c r="D1938" i="2"/>
  <c r="C1938" i="2"/>
  <c r="E1937" i="2"/>
  <c r="D1937" i="2"/>
  <c r="C1937" i="2"/>
  <c r="E1936" i="2"/>
  <c r="D1936" i="2"/>
  <c r="C1936" i="2"/>
  <c r="E1935" i="2"/>
  <c r="D1935" i="2"/>
  <c r="C1935" i="2"/>
  <c r="E1934" i="2"/>
  <c r="D1934" i="2"/>
  <c r="C1934" i="2"/>
  <c r="E1933" i="2"/>
  <c r="D1933" i="2"/>
  <c r="C1933" i="2"/>
  <c r="E1932" i="2"/>
  <c r="D1932" i="2"/>
  <c r="C1932" i="2"/>
  <c r="E1931" i="2"/>
  <c r="D1931" i="2"/>
  <c r="C1931" i="2"/>
  <c r="E1930" i="2"/>
  <c r="D1930" i="2"/>
  <c r="C1930" i="2"/>
  <c r="E1929" i="2"/>
  <c r="D1929" i="2"/>
  <c r="C1929" i="2"/>
  <c r="E1928" i="2"/>
  <c r="D1928" i="2"/>
  <c r="C1928" i="2"/>
  <c r="E1927" i="2"/>
  <c r="D1927" i="2"/>
  <c r="C1927" i="2"/>
  <c r="E1926" i="2"/>
  <c r="D1926" i="2"/>
  <c r="C1926" i="2"/>
  <c r="E1925" i="2"/>
  <c r="D1925" i="2"/>
  <c r="C1925" i="2"/>
  <c r="E1924" i="2"/>
  <c r="D1924" i="2"/>
  <c r="C1924" i="2"/>
  <c r="E1923" i="2"/>
  <c r="D1923" i="2"/>
  <c r="C1923" i="2"/>
  <c r="E1922" i="2"/>
  <c r="D1922" i="2"/>
  <c r="C1922" i="2"/>
  <c r="E1921" i="2"/>
  <c r="D1921" i="2"/>
  <c r="C1921" i="2"/>
  <c r="E1920" i="2"/>
  <c r="D1920" i="2"/>
  <c r="C1920" i="2"/>
  <c r="E1919" i="2"/>
  <c r="D1919" i="2"/>
  <c r="C1919" i="2"/>
  <c r="E1918" i="2"/>
  <c r="D1918" i="2"/>
  <c r="C1918" i="2"/>
  <c r="E1917" i="2"/>
  <c r="D1917" i="2"/>
  <c r="C1917" i="2"/>
  <c r="E1916" i="2"/>
  <c r="D1916" i="2"/>
  <c r="C1916" i="2"/>
  <c r="E1915" i="2"/>
  <c r="D1915" i="2"/>
  <c r="C1915" i="2"/>
  <c r="E1914" i="2"/>
  <c r="D1914" i="2"/>
  <c r="C1914" i="2"/>
  <c r="E1913" i="2"/>
  <c r="D1913" i="2"/>
  <c r="C1913" i="2"/>
  <c r="E1912" i="2"/>
  <c r="D1912" i="2"/>
  <c r="C1912" i="2"/>
  <c r="E1911" i="2"/>
  <c r="D1911" i="2"/>
  <c r="C1911" i="2"/>
  <c r="E1910" i="2"/>
  <c r="D1910" i="2"/>
  <c r="C1910" i="2"/>
  <c r="E1909" i="2"/>
  <c r="D1909" i="2"/>
  <c r="C1909" i="2"/>
  <c r="E1908" i="2"/>
  <c r="D1908" i="2"/>
  <c r="C1908" i="2"/>
  <c r="E1907" i="2"/>
  <c r="D1907" i="2"/>
  <c r="C1907" i="2"/>
  <c r="E1906" i="2"/>
  <c r="D1906" i="2"/>
  <c r="C1906" i="2"/>
  <c r="E1905" i="2"/>
  <c r="D1905" i="2"/>
  <c r="C1905" i="2"/>
  <c r="E1904" i="2"/>
  <c r="D1904" i="2"/>
  <c r="C1904" i="2"/>
  <c r="E1903" i="2"/>
  <c r="D1903" i="2"/>
  <c r="C1903" i="2"/>
  <c r="E1902" i="2"/>
  <c r="D1902" i="2"/>
  <c r="C1902" i="2"/>
  <c r="E1901" i="2"/>
  <c r="D1901" i="2"/>
  <c r="C1901" i="2"/>
  <c r="E1900" i="2"/>
  <c r="D1900" i="2"/>
  <c r="C1900" i="2"/>
  <c r="E1899" i="2"/>
  <c r="D1899" i="2"/>
  <c r="C1899" i="2"/>
  <c r="E1898" i="2"/>
  <c r="D1898" i="2"/>
  <c r="C1898" i="2"/>
  <c r="E1897" i="2"/>
  <c r="D1897" i="2"/>
  <c r="C1897" i="2"/>
  <c r="E1896" i="2"/>
  <c r="D1896" i="2"/>
  <c r="C1896" i="2"/>
  <c r="E1895" i="2"/>
  <c r="D1895" i="2"/>
  <c r="C1895" i="2"/>
  <c r="E1894" i="2"/>
  <c r="D1894" i="2"/>
  <c r="C1894" i="2"/>
  <c r="E1893" i="2"/>
  <c r="D1893" i="2"/>
  <c r="C1893" i="2"/>
  <c r="E1892" i="2"/>
  <c r="D1892" i="2"/>
  <c r="C1892" i="2"/>
  <c r="E1891" i="2"/>
  <c r="D1891" i="2"/>
  <c r="C1891" i="2"/>
  <c r="E1890" i="2"/>
  <c r="D1890" i="2"/>
  <c r="C1890" i="2"/>
  <c r="E1889" i="2"/>
  <c r="D1889" i="2"/>
  <c r="C1889" i="2"/>
  <c r="E1888" i="2"/>
  <c r="D1888" i="2"/>
  <c r="C1888" i="2"/>
  <c r="E1887" i="2"/>
  <c r="D1887" i="2"/>
  <c r="C1887" i="2"/>
  <c r="E1886" i="2"/>
  <c r="D1886" i="2"/>
  <c r="C1886" i="2"/>
  <c r="E1885" i="2"/>
  <c r="D1885" i="2"/>
  <c r="C1885" i="2"/>
  <c r="E1884" i="2"/>
  <c r="D1884" i="2"/>
  <c r="C1884" i="2"/>
  <c r="E1883" i="2"/>
  <c r="D1883" i="2"/>
  <c r="C1883" i="2"/>
  <c r="E1882" i="2"/>
  <c r="D1882" i="2"/>
  <c r="C1882" i="2"/>
  <c r="E1881" i="2"/>
  <c r="D1881" i="2"/>
  <c r="C1881" i="2"/>
  <c r="E1880" i="2"/>
  <c r="D1880" i="2"/>
  <c r="C1880" i="2"/>
  <c r="E1879" i="2"/>
  <c r="D1879" i="2"/>
  <c r="C1879" i="2"/>
  <c r="E1878" i="2"/>
  <c r="D1878" i="2"/>
  <c r="C1878" i="2"/>
  <c r="E1877" i="2"/>
  <c r="D1877" i="2"/>
  <c r="C1877" i="2"/>
  <c r="E1876" i="2"/>
  <c r="D1876" i="2"/>
  <c r="C1876" i="2"/>
  <c r="E1875" i="2"/>
  <c r="D1875" i="2"/>
  <c r="C1875" i="2"/>
  <c r="E1874" i="2"/>
  <c r="D1874" i="2"/>
  <c r="C1874" i="2"/>
  <c r="E1873" i="2"/>
  <c r="D1873" i="2"/>
  <c r="C1873" i="2"/>
  <c r="E1872" i="2"/>
  <c r="D1872" i="2"/>
  <c r="C1872" i="2"/>
  <c r="E1871" i="2"/>
  <c r="D1871" i="2"/>
  <c r="C1871" i="2"/>
  <c r="E1870" i="2"/>
  <c r="D1870" i="2"/>
  <c r="C1870" i="2"/>
  <c r="E1869" i="2"/>
  <c r="D1869" i="2"/>
  <c r="C1869" i="2"/>
  <c r="E1868" i="2"/>
  <c r="D1868" i="2"/>
  <c r="C1868" i="2"/>
  <c r="E1867" i="2"/>
  <c r="D1867" i="2"/>
  <c r="C1867" i="2"/>
  <c r="E1866" i="2"/>
  <c r="D1866" i="2"/>
  <c r="C1866" i="2"/>
  <c r="E1865" i="2"/>
  <c r="D1865" i="2"/>
  <c r="C1865" i="2"/>
  <c r="E1864" i="2"/>
  <c r="D1864" i="2"/>
  <c r="C1864" i="2"/>
  <c r="E1863" i="2"/>
  <c r="D1863" i="2"/>
  <c r="C1863" i="2"/>
  <c r="E1862" i="2"/>
  <c r="D1862" i="2"/>
  <c r="C1862" i="2"/>
  <c r="E1861" i="2"/>
  <c r="D1861" i="2"/>
  <c r="C1861" i="2"/>
  <c r="E1860" i="2"/>
  <c r="D1860" i="2"/>
  <c r="C1860" i="2"/>
  <c r="E1859" i="2"/>
  <c r="D1859" i="2"/>
  <c r="C1859" i="2"/>
  <c r="E1858" i="2"/>
  <c r="D1858" i="2"/>
  <c r="C1858" i="2"/>
  <c r="E1857" i="2"/>
  <c r="D1857" i="2"/>
  <c r="C1857" i="2"/>
  <c r="E1856" i="2"/>
  <c r="D1856" i="2"/>
  <c r="C1856" i="2"/>
  <c r="E1855" i="2"/>
  <c r="D1855" i="2"/>
  <c r="C1855" i="2"/>
  <c r="E1854" i="2"/>
  <c r="D1854" i="2"/>
  <c r="C1854" i="2"/>
  <c r="E1853" i="2"/>
  <c r="D1853" i="2"/>
  <c r="C1853" i="2"/>
  <c r="E1852" i="2"/>
  <c r="D1852" i="2"/>
  <c r="C1852" i="2"/>
  <c r="E1851" i="2"/>
  <c r="D1851" i="2"/>
  <c r="C1851" i="2"/>
  <c r="E1850" i="2"/>
  <c r="D1850" i="2"/>
  <c r="C1850" i="2"/>
  <c r="E1849" i="2"/>
  <c r="D1849" i="2"/>
  <c r="C1849" i="2"/>
  <c r="E1848" i="2"/>
  <c r="D1848" i="2"/>
  <c r="C1848" i="2"/>
  <c r="E1847" i="2"/>
  <c r="D1847" i="2"/>
  <c r="C1847" i="2"/>
  <c r="E1846" i="2"/>
  <c r="D1846" i="2"/>
  <c r="C1846" i="2"/>
  <c r="E1845" i="2"/>
  <c r="D1845" i="2"/>
  <c r="C1845" i="2"/>
  <c r="E1844" i="2"/>
  <c r="D1844" i="2"/>
  <c r="C1844" i="2"/>
  <c r="E1843" i="2"/>
  <c r="D1843" i="2"/>
  <c r="C1843" i="2"/>
  <c r="E1842" i="2"/>
  <c r="D1842" i="2"/>
  <c r="C1842" i="2"/>
  <c r="E1841" i="2"/>
  <c r="D1841" i="2"/>
  <c r="C1841" i="2"/>
  <c r="E1840" i="2"/>
  <c r="D1840" i="2"/>
  <c r="C1840" i="2"/>
  <c r="E1839" i="2"/>
  <c r="D1839" i="2"/>
  <c r="C1839" i="2"/>
  <c r="E1838" i="2"/>
  <c r="D1838" i="2"/>
  <c r="C1838" i="2"/>
  <c r="E1837" i="2"/>
  <c r="D1837" i="2"/>
  <c r="C1837" i="2"/>
  <c r="E1836" i="2"/>
  <c r="D1836" i="2"/>
  <c r="C1836" i="2"/>
  <c r="E1835" i="2"/>
  <c r="D1835" i="2"/>
  <c r="C1835" i="2"/>
  <c r="E1834" i="2"/>
  <c r="D1834" i="2"/>
  <c r="C1834" i="2"/>
  <c r="E1833" i="2"/>
  <c r="D1833" i="2"/>
  <c r="C1833" i="2"/>
  <c r="E1832" i="2"/>
  <c r="D1832" i="2"/>
  <c r="C1832" i="2"/>
  <c r="E1831" i="2"/>
  <c r="D1831" i="2"/>
  <c r="C1831" i="2"/>
  <c r="E1830" i="2"/>
  <c r="D1830" i="2"/>
  <c r="C1830" i="2"/>
  <c r="E1829" i="2"/>
  <c r="D1829" i="2"/>
  <c r="C1829" i="2"/>
  <c r="E1828" i="2"/>
  <c r="D1828" i="2"/>
  <c r="C1828" i="2"/>
  <c r="E1827" i="2"/>
  <c r="D1827" i="2"/>
  <c r="C1827" i="2"/>
  <c r="E1826" i="2"/>
  <c r="D1826" i="2"/>
  <c r="C1826" i="2"/>
  <c r="E1825" i="2"/>
  <c r="D1825" i="2"/>
  <c r="C1825" i="2"/>
  <c r="E1824" i="2"/>
  <c r="D1824" i="2"/>
  <c r="C1824" i="2"/>
  <c r="E1823" i="2"/>
  <c r="D1823" i="2"/>
  <c r="C1823" i="2"/>
  <c r="E1822" i="2"/>
  <c r="D1822" i="2"/>
  <c r="C1822" i="2"/>
  <c r="E1821" i="2"/>
  <c r="D1821" i="2"/>
  <c r="C1821" i="2"/>
  <c r="E1820" i="2"/>
  <c r="D1820" i="2"/>
  <c r="C1820" i="2"/>
  <c r="E1819" i="2"/>
  <c r="D1819" i="2"/>
  <c r="C1819" i="2"/>
  <c r="E1818" i="2"/>
  <c r="D1818" i="2"/>
  <c r="C1818" i="2"/>
  <c r="E1817" i="2"/>
  <c r="D1817" i="2"/>
  <c r="C1817" i="2"/>
  <c r="E1816" i="2"/>
  <c r="D1816" i="2"/>
  <c r="C1816" i="2"/>
  <c r="E1815" i="2"/>
  <c r="D1815" i="2"/>
  <c r="C1815" i="2"/>
  <c r="E1814" i="2"/>
  <c r="D1814" i="2"/>
  <c r="C1814" i="2"/>
  <c r="E1813" i="2"/>
  <c r="D1813" i="2"/>
  <c r="C1813" i="2"/>
  <c r="E1812" i="2"/>
  <c r="D1812" i="2"/>
  <c r="C1812" i="2"/>
  <c r="E1811" i="2"/>
  <c r="D1811" i="2"/>
  <c r="C1811" i="2"/>
  <c r="E1810" i="2"/>
  <c r="D1810" i="2"/>
  <c r="C1810" i="2"/>
  <c r="E1809" i="2"/>
  <c r="D1809" i="2"/>
  <c r="C1809" i="2"/>
  <c r="E1808" i="2"/>
  <c r="D1808" i="2"/>
  <c r="C1808" i="2"/>
  <c r="E1807" i="2"/>
  <c r="D1807" i="2"/>
  <c r="C1807" i="2"/>
  <c r="E1806" i="2"/>
  <c r="D1806" i="2"/>
  <c r="C1806" i="2"/>
  <c r="E1805" i="2"/>
  <c r="D1805" i="2"/>
  <c r="C1805" i="2"/>
  <c r="E1804" i="2"/>
  <c r="D1804" i="2"/>
  <c r="C1804" i="2"/>
  <c r="E1803" i="2"/>
  <c r="D1803" i="2"/>
  <c r="C1803" i="2"/>
  <c r="E1802" i="2"/>
  <c r="D1802" i="2"/>
  <c r="C1802" i="2"/>
  <c r="E1801" i="2"/>
  <c r="D1801" i="2"/>
  <c r="C1801" i="2"/>
  <c r="E1800" i="2"/>
  <c r="D1800" i="2"/>
  <c r="C1800" i="2"/>
  <c r="E1799" i="2"/>
  <c r="D1799" i="2"/>
  <c r="C1799" i="2"/>
  <c r="E1798" i="2"/>
  <c r="D1798" i="2"/>
  <c r="C1798" i="2"/>
  <c r="E1797" i="2"/>
  <c r="D1797" i="2"/>
  <c r="C1797" i="2"/>
  <c r="E1796" i="2"/>
  <c r="D1796" i="2"/>
  <c r="C1796" i="2"/>
  <c r="E1795" i="2"/>
  <c r="D1795" i="2"/>
  <c r="C1795" i="2"/>
  <c r="E1794" i="2"/>
  <c r="D1794" i="2"/>
  <c r="C1794" i="2"/>
  <c r="E1793" i="2"/>
  <c r="D1793" i="2"/>
  <c r="C1793" i="2"/>
  <c r="E1792" i="2"/>
  <c r="D1792" i="2"/>
  <c r="C1792" i="2"/>
  <c r="E1791" i="2"/>
  <c r="D1791" i="2"/>
  <c r="C1791" i="2"/>
  <c r="E1790" i="2"/>
  <c r="D1790" i="2"/>
  <c r="C1790" i="2"/>
  <c r="E1789" i="2"/>
  <c r="D1789" i="2"/>
  <c r="C1789" i="2"/>
  <c r="E1788" i="2"/>
  <c r="D1788" i="2"/>
  <c r="C1788" i="2"/>
  <c r="E1787" i="2"/>
  <c r="D1787" i="2"/>
  <c r="C1787" i="2"/>
  <c r="E1786" i="2"/>
  <c r="D1786" i="2"/>
  <c r="C1786" i="2"/>
  <c r="E1785" i="2"/>
  <c r="D1785" i="2"/>
  <c r="C1785" i="2"/>
  <c r="E1784" i="2"/>
  <c r="D1784" i="2"/>
  <c r="C1784" i="2"/>
  <c r="E1783" i="2"/>
  <c r="D1783" i="2"/>
  <c r="C1783" i="2"/>
  <c r="E1782" i="2"/>
  <c r="D1782" i="2"/>
  <c r="C1782" i="2"/>
  <c r="E1781" i="2"/>
  <c r="D1781" i="2"/>
  <c r="C1781" i="2"/>
  <c r="E1780" i="2"/>
  <c r="D1780" i="2"/>
  <c r="C1780" i="2"/>
  <c r="E1779" i="2"/>
  <c r="D1779" i="2"/>
  <c r="C1779" i="2"/>
  <c r="E1778" i="2"/>
  <c r="D1778" i="2"/>
  <c r="C1778" i="2"/>
  <c r="E1777" i="2"/>
  <c r="D1777" i="2"/>
  <c r="C1777" i="2"/>
  <c r="E1776" i="2"/>
  <c r="D1776" i="2"/>
  <c r="C1776" i="2"/>
  <c r="E1775" i="2"/>
  <c r="D1775" i="2"/>
  <c r="C1775" i="2"/>
  <c r="E1774" i="2"/>
  <c r="D1774" i="2"/>
  <c r="C1774" i="2"/>
  <c r="E1773" i="2"/>
  <c r="D1773" i="2"/>
  <c r="C1773" i="2"/>
  <c r="E1772" i="2"/>
  <c r="D1772" i="2"/>
  <c r="C1772" i="2"/>
  <c r="E1771" i="2"/>
  <c r="D1771" i="2"/>
  <c r="C1771" i="2"/>
  <c r="E1770" i="2"/>
  <c r="D1770" i="2"/>
  <c r="C1770" i="2"/>
  <c r="E1769" i="2"/>
  <c r="D1769" i="2"/>
  <c r="C1769" i="2"/>
  <c r="E1768" i="2"/>
  <c r="D1768" i="2"/>
  <c r="C1768" i="2"/>
  <c r="E1767" i="2"/>
  <c r="D1767" i="2"/>
  <c r="C1767" i="2"/>
  <c r="E1766" i="2"/>
  <c r="D1766" i="2"/>
  <c r="C1766" i="2"/>
  <c r="E1765" i="2"/>
  <c r="D1765" i="2"/>
  <c r="C1765" i="2"/>
  <c r="E1764" i="2"/>
  <c r="D1764" i="2"/>
  <c r="C1764" i="2"/>
  <c r="E1763" i="2"/>
  <c r="D1763" i="2"/>
  <c r="C1763" i="2"/>
  <c r="E1762" i="2"/>
  <c r="D1762" i="2"/>
  <c r="C1762" i="2"/>
  <c r="E1761" i="2"/>
  <c r="D1761" i="2"/>
  <c r="C1761" i="2"/>
  <c r="E1760" i="2"/>
  <c r="D1760" i="2"/>
  <c r="C1760" i="2"/>
  <c r="E1759" i="2"/>
  <c r="D1759" i="2"/>
  <c r="C1759" i="2"/>
  <c r="E1758" i="2"/>
  <c r="D1758" i="2"/>
  <c r="C1758" i="2"/>
  <c r="E1757" i="2"/>
  <c r="D1757" i="2"/>
  <c r="C1757" i="2"/>
  <c r="E1756" i="2"/>
  <c r="D1756" i="2"/>
  <c r="C1756" i="2"/>
  <c r="E1755" i="2"/>
  <c r="D1755" i="2"/>
  <c r="C1755" i="2"/>
  <c r="E1754" i="2"/>
  <c r="D1754" i="2"/>
  <c r="C1754" i="2"/>
  <c r="E1753" i="2"/>
  <c r="D1753" i="2"/>
  <c r="C1753" i="2"/>
  <c r="E1752" i="2"/>
  <c r="D1752" i="2"/>
  <c r="C1752" i="2"/>
  <c r="E1751" i="2"/>
  <c r="D1751" i="2"/>
  <c r="C1751" i="2"/>
  <c r="E1750" i="2"/>
  <c r="D1750" i="2"/>
  <c r="C1750" i="2"/>
  <c r="E1749" i="2"/>
  <c r="D1749" i="2"/>
  <c r="C1749" i="2"/>
  <c r="E1748" i="2"/>
  <c r="D1748" i="2"/>
  <c r="C1748" i="2"/>
  <c r="E1747" i="2"/>
  <c r="D1747" i="2"/>
  <c r="C1747" i="2"/>
  <c r="E1746" i="2"/>
  <c r="D1746" i="2"/>
  <c r="C1746" i="2"/>
  <c r="E1745" i="2"/>
  <c r="D1745" i="2"/>
  <c r="C1745" i="2"/>
  <c r="E1744" i="2"/>
  <c r="D1744" i="2"/>
  <c r="C1744" i="2"/>
  <c r="E1743" i="2"/>
  <c r="D1743" i="2"/>
  <c r="C1743" i="2"/>
  <c r="E1742" i="2"/>
  <c r="D1742" i="2"/>
  <c r="C1742" i="2"/>
  <c r="E1741" i="2"/>
  <c r="D1741" i="2"/>
  <c r="C1741" i="2"/>
  <c r="E1740" i="2"/>
  <c r="D1740" i="2"/>
  <c r="C1740" i="2"/>
  <c r="E1739" i="2"/>
  <c r="D1739" i="2"/>
  <c r="C1739" i="2"/>
  <c r="E1738" i="2"/>
  <c r="D1738" i="2"/>
  <c r="C1738" i="2"/>
  <c r="E1737" i="2"/>
  <c r="D1737" i="2"/>
  <c r="C1737" i="2"/>
  <c r="E1736" i="2"/>
  <c r="D1736" i="2"/>
  <c r="C1736" i="2"/>
  <c r="E1735" i="2"/>
  <c r="D1735" i="2"/>
  <c r="C1735" i="2"/>
  <c r="E1734" i="2"/>
  <c r="D1734" i="2"/>
  <c r="C1734" i="2"/>
  <c r="E1733" i="2"/>
  <c r="D1733" i="2"/>
  <c r="C1733" i="2"/>
  <c r="E1732" i="2"/>
  <c r="D1732" i="2"/>
  <c r="C1732" i="2"/>
  <c r="E1731" i="2"/>
  <c r="D1731" i="2"/>
  <c r="C1731" i="2"/>
  <c r="E1730" i="2"/>
  <c r="D1730" i="2"/>
  <c r="C1730" i="2"/>
  <c r="E1729" i="2"/>
  <c r="D1729" i="2"/>
  <c r="C1729" i="2"/>
  <c r="E1728" i="2"/>
  <c r="D1728" i="2"/>
  <c r="C1728" i="2"/>
  <c r="E1727" i="2"/>
  <c r="D1727" i="2"/>
  <c r="C1727" i="2"/>
  <c r="E1726" i="2"/>
  <c r="D1726" i="2"/>
  <c r="C1726" i="2"/>
  <c r="E1725" i="2"/>
  <c r="D1725" i="2"/>
  <c r="C1725" i="2"/>
  <c r="E1724" i="2"/>
  <c r="D1724" i="2"/>
  <c r="C1724" i="2"/>
  <c r="E1723" i="2"/>
  <c r="D1723" i="2"/>
  <c r="C1723" i="2"/>
  <c r="E1722" i="2"/>
  <c r="D1722" i="2"/>
  <c r="C1722" i="2"/>
  <c r="E1721" i="2"/>
  <c r="D1721" i="2"/>
  <c r="C1721" i="2"/>
  <c r="E1720" i="2"/>
  <c r="D1720" i="2"/>
  <c r="C1720" i="2"/>
  <c r="E1719" i="2"/>
  <c r="D1719" i="2"/>
  <c r="C1719" i="2"/>
  <c r="E1718" i="2"/>
  <c r="D1718" i="2"/>
  <c r="C1718" i="2"/>
  <c r="E1717" i="2"/>
  <c r="D1717" i="2"/>
  <c r="C1717" i="2"/>
  <c r="E1716" i="2"/>
  <c r="D1716" i="2"/>
  <c r="C1716" i="2"/>
  <c r="E1715" i="2"/>
  <c r="D1715" i="2"/>
  <c r="C1715" i="2"/>
  <c r="E1714" i="2"/>
  <c r="D1714" i="2"/>
  <c r="C1714" i="2"/>
  <c r="E1713" i="2"/>
  <c r="D1713" i="2"/>
  <c r="C1713" i="2"/>
  <c r="E1712" i="2"/>
  <c r="D1712" i="2"/>
  <c r="C1712" i="2"/>
  <c r="E1711" i="2"/>
  <c r="D1711" i="2"/>
  <c r="C1711" i="2"/>
  <c r="E1710" i="2"/>
  <c r="D1710" i="2"/>
  <c r="C1710" i="2"/>
  <c r="E1709" i="2"/>
  <c r="D1709" i="2"/>
  <c r="C1709" i="2"/>
  <c r="E1708" i="2"/>
  <c r="D1708" i="2"/>
  <c r="C1708" i="2"/>
  <c r="E1707" i="2"/>
  <c r="D1707" i="2"/>
  <c r="C1707" i="2"/>
  <c r="E1706" i="2"/>
  <c r="D1706" i="2"/>
  <c r="C1706" i="2"/>
  <c r="E1705" i="2"/>
  <c r="D1705" i="2"/>
  <c r="C1705" i="2"/>
  <c r="E1704" i="2"/>
  <c r="D1704" i="2"/>
  <c r="C1704" i="2"/>
  <c r="E1703" i="2"/>
  <c r="D1703" i="2"/>
  <c r="C1703" i="2"/>
  <c r="E1702" i="2"/>
  <c r="D1702" i="2"/>
  <c r="C1702" i="2"/>
  <c r="E1701" i="2"/>
  <c r="D1701" i="2"/>
  <c r="C1701" i="2"/>
  <c r="E1700" i="2"/>
  <c r="D1700" i="2"/>
  <c r="C1700" i="2"/>
  <c r="E1699" i="2"/>
  <c r="D1699" i="2"/>
  <c r="C1699" i="2"/>
  <c r="E1698" i="2"/>
  <c r="D1698" i="2"/>
  <c r="C1698" i="2"/>
  <c r="E1697" i="2"/>
  <c r="D1697" i="2"/>
  <c r="C1697" i="2"/>
  <c r="E1696" i="2"/>
  <c r="D1696" i="2"/>
  <c r="C1696" i="2"/>
  <c r="E1695" i="2"/>
  <c r="D1695" i="2"/>
  <c r="C1695" i="2"/>
  <c r="E1694" i="2"/>
  <c r="D1694" i="2"/>
  <c r="C1694" i="2"/>
  <c r="E1693" i="2"/>
  <c r="D1693" i="2"/>
  <c r="C1693" i="2"/>
  <c r="E1692" i="2"/>
  <c r="D1692" i="2"/>
  <c r="C1692" i="2"/>
  <c r="E1691" i="2"/>
  <c r="D1691" i="2"/>
  <c r="C1691" i="2"/>
  <c r="E1690" i="2"/>
  <c r="D1690" i="2"/>
  <c r="C1690" i="2"/>
  <c r="E1689" i="2"/>
  <c r="D1689" i="2"/>
  <c r="C1689" i="2"/>
  <c r="E1688" i="2"/>
  <c r="D1688" i="2"/>
  <c r="C1688" i="2"/>
  <c r="E1687" i="2"/>
  <c r="D1687" i="2"/>
  <c r="C1687" i="2"/>
  <c r="E1686" i="2"/>
  <c r="D1686" i="2"/>
  <c r="C1686" i="2"/>
  <c r="E1685" i="2"/>
  <c r="D1685" i="2"/>
  <c r="C1685" i="2"/>
  <c r="E1684" i="2"/>
  <c r="D1684" i="2"/>
  <c r="C1684" i="2"/>
  <c r="E1683" i="2"/>
  <c r="D1683" i="2"/>
  <c r="C1683" i="2"/>
  <c r="E1682" i="2"/>
  <c r="D1682" i="2"/>
  <c r="C1682" i="2"/>
  <c r="E1681" i="2"/>
  <c r="D1681" i="2"/>
  <c r="C1681" i="2"/>
  <c r="E1680" i="2"/>
  <c r="D1680" i="2"/>
  <c r="C1680" i="2"/>
  <c r="E1679" i="2"/>
  <c r="D1679" i="2"/>
  <c r="C1679" i="2"/>
  <c r="E1678" i="2"/>
  <c r="D1678" i="2"/>
  <c r="C1678" i="2"/>
  <c r="E1677" i="2"/>
  <c r="D1677" i="2"/>
  <c r="C1677" i="2"/>
  <c r="E1676" i="2"/>
  <c r="D1676" i="2"/>
  <c r="C1676" i="2"/>
  <c r="E1675" i="2"/>
  <c r="D1675" i="2"/>
  <c r="C1675" i="2"/>
  <c r="E1674" i="2"/>
  <c r="D1674" i="2"/>
  <c r="C1674" i="2"/>
  <c r="E1673" i="2"/>
  <c r="D1673" i="2"/>
  <c r="C1673" i="2"/>
  <c r="E1672" i="2"/>
  <c r="D1672" i="2"/>
  <c r="C1672" i="2"/>
  <c r="E1671" i="2"/>
  <c r="D1671" i="2"/>
  <c r="C1671" i="2"/>
  <c r="E1670" i="2"/>
  <c r="D1670" i="2"/>
  <c r="C1670" i="2"/>
  <c r="E1669" i="2"/>
  <c r="D1669" i="2"/>
  <c r="C1669" i="2"/>
  <c r="E1668" i="2"/>
  <c r="D1668" i="2"/>
  <c r="C1668" i="2"/>
  <c r="E1667" i="2"/>
  <c r="D1667" i="2"/>
  <c r="C1667" i="2"/>
  <c r="E1666" i="2"/>
  <c r="D1666" i="2"/>
  <c r="C1666" i="2"/>
  <c r="E1665" i="2"/>
  <c r="D1665" i="2"/>
  <c r="C1665" i="2"/>
  <c r="E1664" i="2"/>
  <c r="D1664" i="2"/>
  <c r="C1664" i="2"/>
  <c r="E1663" i="2"/>
  <c r="D1663" i="2"/>
  <c r="C1663" i="2"/>
  <c r="E1662" i="2"/>
  <c r="D1662" i="2"/>
  <c r="C1662" i="2"/>
  <c r="E1661" i="2"/>
  <c r="D1661" i="2"/>
  <c r="C1661" i="2"/>
  <c r="E1660" i="2"/>
  <c r="D1660" i="2"/>
  <c r="C1660" i="2"/>
  <c r="E1659" i="2"/>
  <c r="D1659" i="2"/>
  <c r="C1659" i="2"/>
  <c r="E1658" i="2"/>
  <c r="D1658" i="2"/>
  <c r="C1658" i="2"/>
  <c r="E1657" i="2"/>
  <c r="D1657" i="2"/>
  <c r="C1657" i="2"/>
  <c r="E1656" i="2"/>
  <c r="D1656" i="2"/>
  <c r="C1656" i="2"/>
  <c r="E1655" i="2"/>
  <c r="D1655" i="2"/>
  <c r="C1655" i="2"/>
  <c r="E1654" i="2"/>
  <c r="D1654" i="2"/>
  <c r="C1654" i="2"/>
  <c r="E1653" i="2"/>
  <c r="D1653" i="2"/>
  <c r="C1653" i="2"/>
  <c r="E1652" i="2"/>
  <c r="D1652" i="2"/>
  <c r="C1652" i="2"/>
  <c r="E1651" i="2"/>
  <c r="D1651" i="2"/>
  <c r="C1651" i="2"/>
  <c r="E1650" i="2"/>
  <c r="D1650" i="2"/>
  <c r="C1650" i="2"/>
  <c r="E1649" i="2"/>
  <c r="D1649" i="2"/>
  <c r="C1649" i="2"/>
  <c r="E1648" i="2"/>
  <c r="D1648" i="2"/>
  <c r="C1648" i="2"/>
  <c r="E1647" i="2"/>
  <c r="D1647" i="2"/>
  <c r="C1647" i="2"/>
  <c r="E1646" i="2"/>
  <c r="D1646" i="2"/>
  <c r="C1646" i="2"/>
  <c r="E1645" i="2"/>
  <c r="D1645" i="2"/>
  <c r="C1645" i="2"/>
  <c r="E1644" i="2"/>
  <c r="D1644" i="2"/>
  <c r="C1644" i="2"/>
  <c r="E1643" i="2"/>
  <c r="D1643" i="2"/>
  <c r="C1643" i="2"/>
  <c r="E1642" i="2"/>
  <c r="D1642" i="2"/>
  <c r="C1642" i="2"/>
  <c r="E1641" i="2"/>
  <c r="D1641" i="2"/>
  <c r="C1641" i="2"/>
  <c r="E1640" i="2"/>
  <c r="D1640" i="2"/>
  <c r="C1640" i="2"/>
  <c r="E1639" i="2"/>
  <c r="D1639" i="2"/>
  <c r="C1639" i="2"/>
  <c r="E1638" i="2"/>
  <c r="D1638" i="2"/>
  <c r="C1638" i="2"/>
  <c r="E1637" i="2"/>
  <c r="D1637" i="2"/>
  <c r="C1637" i="2"/>
  <c r="E1636" i="2"/>
  <c r="D1636" i="2"/>
  <c r="C1636" i="2"/>
  <c r="E1635" i="2"/>
  <c r="D1635" i="2"/>
  <c r="C1635" i="2"/>
  <c r="E1634" i="2"/>
  <c r="D1634" i="2"/>
  <c r="C1634" i="2"/>
  <c r="E1633" i="2"/>
  <c r="D1633" i="2"/>
  <c r="C1633" i="2"/>
  <c r="E1632" i="2"/>
  <c r="D1632" i="2"/>
  <c r="C1632" i="2"/>
  <c r="E1631" i="2"/>
  <c r="D1631" i="2"/>
  <c r="C1631" i="2"/>
  <c r="E1630" i="2"/>
  <c r="D1630" i="2"/>
  <c r="C1630" i="2"/>
  <c r="E1629" i="2"/>
  <c r="D1629" i="2"/>
  <c r="C1629" i="2"/>
  <c r="E1628" i="2"/>
  <c r="D1628" i="2"/>
  <c r="C1628" i="2"/>
  <c r="E1627" i="2"/>
  <c r="D1627" i="2"/>
  <c r="C1627" i="2"/>
  <c r="E1626" i="2"/>
  <c r="D1626" i="2"/>
  <c r="C1626" i="2"/>
  <c r="E1625" i="2"/>
  <c r="D1625" i="2"/>
  <c r="C1625" i="2"/>
  <c r="E1624" i="2"/>
  <c r="D1624" i="2"/>
  <c r="C1624" i="2"/>
  <c r="E1623" i="2"/>
  <c r="D1623" i="2"/>
  <c r="C1623" i="2"/>
  <c r="E1622" i="2"/>
  <c r="D1622" i="2"/>
  <c r="C1622" i="2"/>
  <c r="E1621" i="2"/>
  <c r="D1621" i="2"/>
  <c r="C1621" i="2"/>
  <c r="E1620" i="2"/>
  <c r="D1620" i="2"/>
  <c r="C1620" i="2"/>
  <c r="E1619" i="2"/>
  <c r="D1619" i="2"/>
  <c r="C1619" i="2"/>
  <c r="E1618" i="2"/>
  <c r="D1618" i="2"/>
  <c r="C1618" i="2"/>
  <c r="E1617" i="2"/>
  <c r="D1617" i="2"/>
  <c r="C1617" i="2"/>
  <c r="E1616" i="2"/>
  <c r="D1616" i="2"/>
  <c r="C1616" i="2"/>
  <c r="E1615" i="2"/>
  <c r="D1615" i="2"/>
  <c r="C1615" i="2"/>
  <c r="E1614" i="2"/>
  <c r="D1614" i="2"/>
  <c r="C1614" i="2"/>
  <c r="E1613" i="2"/>
  <c r="D1613" i="2"/>
  <c r="C1613" i="2"/>
  <c r="E1612" i="2"/>
  <c r="D1612" i="2"/>
  <c r="C1612" i="2"/>
  <c r="E1611" i="2"/>
  <c r="D1611" i="2"/>
  <c r="C1611" i="2"/>
  <c r="E1610" i="2"/>
  <c r="D1610" i="2"/>
  <c r="C1610" i="2"/>
  <c r="E1609" i="2"/>
  <c r="D1609" i="2"/>
  <c r="C1609" i="2"/>
  <c r="E1608" i="2"/>
  <c r="D1608" i="2"/>
  <c r="C1608" i="2"/>
  <c r="E1607" i="2"/>
  <c r="D1607" i="2"/>
  <c r="C1607" i="2"/>
  <c r="E1606" i="2"/>
  <c r="D1606" i="2"/>
  <c r="C1606" i="2"/>
  <c r="E1605" i="2"/>
  <c r="D1605" i="2"/>
  <c r="C1605" i="2"/>
  <c r="E1604" i="2"/>
  <c r="D1604" i="2"/>
  <c r="C1604" i="2"/>
  <c r="E1603" i="2"/>
  <c r="D1603" i="2"/>
  <c r="C1603" i="2"/>
  <c r="E1602" i="2"/>
  <c r="D1602" i="2"/>
  <c r="C1602" i="2"/>
  <c r="E1601" i="2"/>
  <c r="D1601" i="2"/>
  <c r="C1601" i="2"/>
  <c r="E1600" i="2"/>
  <c r="D1600" i="2"/>
  <c r="C1600" i="2"/>
  <c r="E1599" i="2"/>
  <c r="D1599" i="2"/>
  <c r="C1599" i="2"/>
  <c r="E1598" i="2"/>
  <c r="D1598" i="2"/>
  <c r="C1598" i="2"/>
  <c r="E1597" i="2"/>
  <c r="D1597" i="2"/>
  <c r="C1597" i="2"/>
  <c r="E1596" i="2"/>
  <c r="D1596" i="2"/>
  <c r="C1596" i="2"/>
  <c r="E1595" i="2"/>
  <c r="D1595" i="2"/>
  <c r="C1595" i="2"/>
  <c r="E1594" i="2"/>
  <c r="D1594" i="2"/>
  <c r="C1594" i="2"/>
  <c r="E1593" i="2"/>
  <c r="D1593" i="2"/>
  <c r="C1593" i="2"/>
  <c r="E1592" i="2"/>
  <c r="D1592" i="2"/>
  <c r="C1592" i="2"/>
  <c r="E1591" i="2"/>
  <c r="D1591" i="2"/>
  <c r="C1591" i="2"/>
  <c r="E1590" i="2"/>
  <c r="D1590" i="2"/>
  <c r="C1590" i="2"/>
  <c r="E1589" i="2"/>
  <c r="D1589" i="2"/>
  <c r="C1589" i="2"/>
  <c r="E1588" i="2"/>
  <c r="D1588" i="2"/>
  <c r="C1588" i="2"/>
  <c r="E1587" i="2"/>
  <c r="D1587" i="2"/>
  <c r="C1587" i="2"/>
  <c r="E1586" i="2"/>
  <c r="D1586" i="2"/>
  <c r="C1586" i="2"/>
  <c r="E1585" i="2"/>
  <c r="D1585" i="2"/>
  <c r="C1585" i="2"/>
  <c r="E1584" i="2"/>
  <c r="D1584" i="2"/>
  <c r="C1584" i="2"/>
  <c r="E1583" i="2"/>
  <c r="D1583" i="2"/>
  <c r="C1583" i="2"/>
  <c r="E1582" i="2"/>
  <c r="D1582" i="2"/>
  <c r="C1582" i="2"/>
  <c r="E1581" i="2"/>
  <c r="D1581" i="2"/>
  <c r="C1581" i="2"/>
  <c r="E1580" i="2"/>
  <c r="D1580" i="2"/>
  <c r="C1580" i="2"/>
  <c r="E1579" i="2"/>
  <c r="D1579" i="2"/>
  <c r="C1579" i="2"/>
  <c r="E1578" i="2"/>
  <c r="D1578" i="2"/>
  <c r="C1578" i="2"/>
  <c r="E1577" i="2"/>
  <c r="D1577" i="2"/>
  <c r="C1577" i="2"/>
  <c r="E1576" i="2"/>
  <c r="D1576" i="2"/>
  <c r="C1576" i="2"/>
  <c r="E1575" i="2"/>
  <c r="D1575" i="2"/>
  <c r="C1575" i="2"/>
  <c r="E1574" i="2"/>
  <c r="D1574" i="2"/>
  <c r="C1574" i="2"/>
  <c r="E1573" i="2"/>
  <c r="D1573" i="2"/>
  <c r="C1573" i="2"/>
  <c r="E1572" i="2"/>
  <c r="D1572" i="2"/>
  <c r="C1572" i="2"/>
  <c r="E1571" i="2"/>
  <c r="D1571" i="2"/>
  <c r="C1571" i="2"/>
  <c r="E1570" i="2"/>
  <c r="D1570" i="2"/>
  <c r="C1570" i="2"/>
  <c r="E1569" i="2"/>
  <c r="D1569" i="2"/>
  <c r="C1569" i="2"/>
  <c r="E1568" i="2"/>
  <c r="D1568" i="2"/>
  <c r="C1568" i="2"/>
  <c r="E1567" i="2"/>
  <c r="D1567" i="2"/>
  <c r="C1567" i="2"/>
  <c r="E1566" i="2"/>
  <c r="D1566" i="2"/>
  <c r="C1566" i="2"/>
  <c r="E1565" i="2"/>
  <c r="D1565" i="2"/>
  <c r="C1565" i="2"/>
  <c r="E1564" i="2"/>
  <c r="D1564" i="2"/>
  <c r="C1564" i="2"/>
  <c r="E1563" i="2"/>
  <c r="D1563" i="2"/>
  <c r="C1563" i="2"/>
  <c r="E1562" i="2"/>
  <c r="D1562" i="2"/>
  <c r="C1562" i="2"/>
  <c r="E1561" i="2"/>
  <c r="D1561" i="2"/>
  <c r="C1561" i="2"/>
  <c r="E1560" i="2"/>
  <c r="D1560" i="2"/>
  <c r="C1560" i="2"/>
  <c r="E1559" i="2"/>
  <c r="D1559" i="2"/>
  <c r="C1559" i="2"/>
  <c r="E1558" i="2"/>
  <c r="D1558" i="2"/>
  <c r="C1558" i="2"/>
  <c r="E1557" i="2"/>
  <c r="D1557" i="2"/>
  <c r="C1557" i="2"/>
  <c r="E1556" i="2"/>
  <c r="D1556" i="2"/>
  <c r="C1556" i="2"/>
  <c r="E1555" i="2"/>
  <c r="D1555" i="2"/>
  <c r="C1555" i="2"/>
  <c r="E1554" i="2"/>
  <c r="D1554" i="2"/>
  <c r="C1554" i="2"/>
  <c r="E1553" i="2"/>
  <c r="D1553" i="2"/>
  <c r="C1553" i="2"/>
  <c r="E1552" i="2"/>
  <c r="D1552" i="2"/>
  <c r="C1552" i="2"/>
  <c r="E1551" i="2"/>
  <c r="D1551" i="2"/>
  <c r="C1551" i="2"/>
  <c r="E1550" i="2"/>
  <c r="D1550" i="2"/>
  <c r="C1550" i="2"/>
  <c r="E1549" i="2"/>
  <c r="D1549" i="2"/>
  <c r="C1549" i="2"/>
  <c r="E1548" i="2"/>
  <c r="D1548" i="2"/>
  <c r="C1548" i="2"/>
  <c r="E1547" i="2"/>
  <c r="D1547" i="2"/>
  <c r="C1547" i="2"/>
  <c r="E1546" i="2"/>
  <c r="D1546" i="2"/>
  <c r="C1546" i="2"/>
  <c r="E1545" i="2"/>
  <c r="D1545" i="2"/>
  <c r="C1545" i="2"/>
  <c r="E1544" i="2"/>
  <c r="D1544" i="2"/>
  <c r="C1544" i="2"/>
  <c r="E1543" i="2"/>
  <c r="D1543" i="2"/>
  <c r="C1543" i="2"/>
  <c r="E1542" i="2"/>
  <c r="D1542" i="2"/>
  <c r="C1542" i="2"/>
  <c r="E1541" i="2"/>
  <c r="D1541" i="2"/>
  <c r="C1541" i="2"/>
  <c r="E1540" i="2"/>
  <c r="D1540" i="2"/>
  <c r="C1540" i="2"/>
  <c r="E1539" i="2"/>
  <c r="D1539" i="2"/>
  <c r="C1539" i="2"/>
  <c r="E1538" i="2"/>
  <c r="D1538" i="2"/>
  <c r="C1538" i="2"/>
  <c r="E1537" i="2"/>
  <c r="D1537" i="2"/>
  <c r="C1537" i="2"/>
  <c r="E1536" i="2"/>
  <c r="D1536" i="2"/>
  <c r="C1536" i="2"/>
  <c r="E1535" i="2"/>
  <c r="D1535" i="2"/>
  <c r="C1535" i="2"/>
  <c r="E1534" i="2"/>
  <c r="D1534" i="2"/>
  <c r="C1534" i="2"/>
  <c r="E1533" i="2"/>
  <c r="D1533" i="2"/>
  <c r="C1533" i="2"/>
  <c r="E1532" i="2"/>
  <c r="D1532" i="2"/>
  <c r="C1532" i="2"/>
  <c r="E1531" i="2"/>
  <c r="D1531" i="2"/>
  <c r="C1531" i="2"/>
  <c r="E1530" i="2"/>
  <c r="D1530" i="2"/>
  <c r="C1530" i="2"/>
  <c r="E1529" i="2"/>
  <c r="D1529" i="2"/>
  <c r="C1529" i="2"/>
  <c r="E1528" i="2"/>
  <c r="D1528" i="2"/>
  <c r="C1528" i="2"/>
  <c r="E1527" i="2"/>
  <c r="D1527" i="2"/>
  <c r="C1527" i="2"/>
  <c r="E1526" i="2"/>
  <c r="D1526" i="2"/>
  <c r="C1526" i="2"/>
  <c r="E1525" i="2"/>
  <c r="D1525" i="2"/>
  <c r="C1525" i="2"/>
  <c r="E1524" i="2"/>
  <c r="D1524" i="2"/>
  <c r="C1524" i="2"/>
  <c r="E1523" i="2"/>
  <c r="D1523" i="2"/>
  <c r="C1523" i="2"/>
  <c r="E1522" i="2"/>
  <c r="D1522" i="2"/>
  <c r="C1522" i="2"/>
  <c r="E1521" i="2"/>
  <c r="D1521" i="2"/>
  <c r="C1521" i="2"/>
  <c r="E1520" i="2"/>
  <c r="D1520" i="2"/>
  <c r="C1520" i="2"/>
  <c r="E1519" i="2"/>
  <c r="D1519" i="2"/>
  <c r="C1519" i="2"/>
  <c r="E1518" i="2"/>
  <c r="D1518" i="2"/>
  <c r="C1518" i="2"/>
  <c r="E1517" i="2"/>
  <c r="D1517" i="2"/>
  <c r="C1517" i="2"/>
  <c r="E1516" i="2"/>
  <c r="D1516" i="2"/>
  <c r="C1516" i="2"/>
  <c r="E1515" i="2"/>
  <c r="D1515" i="2"/>
  <c r="C1515" i="2"/>
  <c r="E1514" i="2"/>
  <c r="D1514" i="2"/>
  <c r="C1514" i="2"/>
  <c r="E1513" i="2"/>
  <c r="D1513" i="2"/>
  <c r="C1513" i="2"/>
  <c r="E1512" i="2"/>
  <c r="D1512" i="2"/>
  <c r="C1512" i="2"/>
  <c r="E1511" i="2"/>
  <c r="D1511" i="2"/>
  <c r="C1511" i="2"/>
  <c r="E1510" i="2"/>
  <c r="D1510" i="2"/>
  <c r="C1510" i="2"/>
  <c r="E1509" i="2"/>
  <c r="D1509" i="2"/>
  <c r="C1509" i="2"/>
  <c r="E1508" i="2"/>
  <c r="D1508" i="2"/>
  <c r="C1508" i="2"/>
  <c r="E1507" i="2"/>
  <c r="D1507" i="2"/>
  <c r="C1507" i="2"/>
  <c r="E1506" i="2"/>
  <c r="D1506" i="2"/>
  <c r="C1506" i="2"/>
  <c r="E1505" i="2"/>
  <c r="D1505" i="2"/>
  <c r="C1505" i="2"/>
  <c r="E1504" i="2"/>
  <c r="D1504" i="2"/>
  <c r="C1504" i="2"/>
  <c r="E1503" i="2"/>
  <c r="D1503" i="2"/>
  <c r="C1503" i="2"/>
  <c r="E1502" i="2"/>
  <c r="D1502" i="2"/>
  <c r="C1502" i="2"/>
  <c r="E1501" i="2"/>
  <c r="D1501" i="2"/>
  <c r="C1501" i="2"/>
  <c r="E1500" i="2"/>
  <c r="D1500" i="2"/>
  <c r="C1500" i="2"/>
  <c r="E1499" i="2"/>
  <c r="D1499" i="2"/>
  <c r="C1499" i="2"/>
  <c r="E1498" i="2"/>
  <c r="D1498" i="2"/>
  <c r="C1498" i="2"/>
  <c r="E1497" i="2"/>
  <c r="D1497" i="2"/>
  <c r="C1497" i="2"/>
  <c r="E1496" i="2"/>
  <c r="D1496" i="2"/>
  <c r="C1496" i="2"/>
  <c r="E1495" i="2"/>
  <c r="D1495" i="2"/>
  <c r="C1495" i="2"/>
  <c r="E1494" i="2"/>
  <c r="D1494" i="2"/>
  <c r="C1494" i="2"/>
  <c r="E1493" i="2"/>
  <c r="D1493" i="2"/>
  <c r="C1493" i="2"/>
  <c r="E1492" i="2"/>
  <c r="D1492" i="2"/>
  <c r="C1492" i="2"/>
  <c r="E1491" i="2"/>
  <c r="D1491" i="2"/>
  <c r="C1491" i="2"/>
  <c r="E1490" i="2"/>
  <c r="D1490" i="2"/>
  <c r="C1490" i="2"/>
  <c r="E1489" i="2"/>
  <c r="D1489" i="2"/>
  <c r="C1489" i="2"/>
  <c r="E1488" i="2"/>
  <c r="D1488" i="2"/>
  <c r="C1488" i="2"/>
  <c r="E1487" i="2"/>
  <c r="D1487" i="2"/>
  <c r="C1487" i="2"/>
  <c r="E1486" i="2"/>
  <c r="D1486" i="2"/>
  <c r="C1486" i="2"/>
  <c r="E1485" i="2"/>
  <c r="D1485" i="2"/>
  <c r="C1485" i="2"/>
  <c r="E1484" i="2"/>
  <c r="D1484" i="2"/>
  <c r="C1484" i="2"/>
  <c r="E1483" i="2"/>
  <c r="D1483" i="2"/>
  <c r="C1483" i="2"/>
  <c r="E1482" i="2"/>
  <c r="D1482" i="2"/>
  <c r="C1482" i="2"/>
  <c r="E1481" i="2"/>
  <c r="D1481" i="2"/>
  <c r="C1481" i="2"/>
  <c r="E1480" i="2"/>
  <c r="D1480" i="2"/>
  <c r="C1480" i="2"/>
  <c r="E1479" i="2"/>
  <c r="D1479" i="2"/>
  <c r="C1479" i="2"/>
  <c r="E1478" i="2"/>
  <c r="D1478" i="2"/>
  <c r="C1478" i="2"/>
  <c r="E1477" i="2"/>
  <c r="D1477" i="2"/>
  <c r="C1477" i="2"/>
  <c r="E1476" i="2"/>
  <c r="D1476" i="2"/>
  <c r="C1476" i="2"/>
  <c r="E1475" i="2"/>
  <c r="D1475" i="2"/>
  <c r="C1475" i="2"/>
  <c r="E1474" i="2"/>
  <c r="D1474" i="2"/>
  <c r="C1474" i="2"/>
  <c r="E1473" i="2"/>
  <c r="D1473" i="2"/>
  <c r="C1473" i="2"/>
  <c r="E1472" i="2"/>
  <c r="D1472" i="2"/>
  <c r="C1472" i="2"/>
  <c r="E1471" i="2"/>
  <c r="D1471" i="2"/>
  <c r="C1471" i="2"/>
  <c r="E1470" i="2"/>
  <c r="D1470" i="2"/>
  <c r="C1470" i="2"/>
  <c r="E1469" i="2"/>
  <c r="D1469" i="2"/>
  <c r="C1469" i="2"/>
  <c r="E1468" i="2"/>
  <c r="D1468" i="2"/>
  <c r="C1468" i="2"/>
  <c r="E1467" i="2"/>
  <c r="D1467" i="2"/>
  <c r="C1467" i="2"/>
  <c r="E1466" i="2"/>
  <c r="D1466" i="2"/>
  <c r="C1466" i="2"/>
  <c r="E1465" i="2"/>
  <c r="D1465" i="2"/>
  <c r="C1465" i="2"/>
  <c r="E1464" i="2"/>
  <c r="D1464" i="2"/>
  <c r="C1464" i="2"/>
  <c r="E1463" i="2"/>
  <c r="D1463" i="2"/>
  <c r="C1463" i="2"/>
  <c r="E1462" i="2"/>
  <c r="D1462" i="2"/>
  <c r="C1462" i="2"/>
  <c r="E1461" i="2"/>
  <c r="D1461" i="2"/>
  <c r="C1461" i="2"/>
  <c r="E1460" i="2"/>
  <c r="D1460" i="2"/>
  <c r="C1460" i="2"/>
  <c r="E1459" i="2"/>
  <c r="D1459" i="2"/>
  <c r="C1459" i="2"/>
  <c r="E1458" i="2"/>
  <c r="D1458" i="2"/>
  <c r="C1458" i="2"/>
  <c r="E1457" i="2"/>
  <c r="D1457" i="2"/>
  <c r="C1457" i="2"/>
  <c r="E1456" i="2"/>
  <c r="D1456" i="2"/>
  <c r="C1456" i="2"/>
  <c r="E1455" i="2"/>
  <c r="D1455" i="2"/>
  <c r="C1455" i="2"/>
  <c r="E1454" i="2"/>
  <c r="D1454" i="2"/>
  <c r="C1454" i="2"/>
  <c r="E1453" i="2"/>
  <c r="D1453" i="2"/>
  <c r="C1453" i="2"/>
  <c r="E1452" i="2"/>
  <c r="D1452" i="2"/>
  <c r="C1452" i="2"/>
  <c r="E1451" i="2"/>
  <c r="D1451" i="2"/>
  <c r="C1451" i="2"/>
  <c r="E1450" i="2"/>
  <c r="D1450" i="2"/>
  <c r="C1450" i="2"/>
  <c r="E1449" i="2"/>
  <c r="D1449" i="2"/>
  <c r="C1449" i="2"/>
  <c r="E1448" i="2"/>
  <c r="D1448" i="2"/>
  <c r="C1448" i="2"/>
  <c r="E1447" i="2"/>
  <c r="D1447" i="2"/>
  <c r="C1447" i="2"/>
  <c r="E1446" i="2"/>
  <c r="D1446" i="2"/>
  <c r="C1446" i="2"/>
  <c r="E1445" i="2"/>
  <c r="D1445" i="2"/>
  <c r="C1445" i="2"/>
  <c r="E1444" i="2"/>
  <c r="D1444" i="2"/>
  <c r="C1444" i="2"/>
  <c r="E1443" i="2"/>
  <c r="D1443" i="2"/>
  <c r="C1443" i="2"/>
  <c r="E1442" i="2"/>
  <c r="D1442" i="2"/>
  <c r="C1442" i="2"/>
  <c r="E1441" i="2"/>
  <c r="D1441" i="2"/>
  <c r="C1441" i="2"/>
  <c r="E1440" i="2"/>
  <c r="D1440" i="2"/>
  <c r="C1440" i="2"/>
  <c r="E1439" i="2"/>
  <c r="D1439" i="2"/>
  <c r="C1439" i="2"/>
  <c r="E1438" i="2"/>
  <c r="D1438" i="2"/>
  <c r="C1438" i="2"/>
  <c r="E1437" i="2"/>
  <c r="D1437" i="2"/>
  <c r="C1437" i="2"/>
  <c r="E1436" i="2"/>
  <c r="D1436" i="2"/>
  <c r="C1436" i="2"/>
  <c r="E1435" i="2"/>
  <c r="D1435" i="2"/>
  <c r="C1435" i="2"/>
  <c r="E1434" i="2"/>
  <c r="D1434" i="2"/>
  <c r="C1434" i="2"/>
  <c r="E1433" i="2"/>
  <c r="D1433" i="2"/>
  <c r="C1433" i="2"/>
  <c r="E1432" i="2"/>
  <c r="D1432" i="2"/>
  <c r="C1432" i="2"/>
  <c r="E1431" i="2"/>
  <c r="D1431" i="2"/>
  <c r="C1431" i="2"/>
  <c r="E1430" i="2"/>
  <c r="D1430" i="2"/>
  <c r="C1430" i="2"/>
  <c r="E1429" i="2"/>
  <c r="D1429" i="2"/>
  <c r="C1429" i="2"/>
  <c r="E1428" i="2"/>
  <c r="D1428" i="2"/>
  <c r="C1428" i="2"/>
  <c r="E1427" i="2"/>
  <c r="D1427" i="2"/>
  <c r="C1427" i="2"/>
  <c r="E1426" i="2"/>
  <c r="D1426" i="2"/>
  <c r="C1426" i="2"/>
  <c r="E1425" i="2"/>
  <c r="D1425" i="2"/>
  <c r="C1425" i="2"/>
  <c r="E1424" i="2"/>
  <c r="D1424" i="2"/>
  <c r="C1424" i="2"/>
  <c r="E1423" i="2"/>
  <c r="D1423" i="2"/>
  <c r="C1423" i="2"/>
  <c r="E1422" i="2"/>
  <c r="D1422" i="2"/>
  <c r="C1422" i="2"/>
  <c r="E1421" i="2"/>
  <c r="D1421" i="2"/>
  <c r="C1421" i="2"/>
  <c r="E1420" i="2"/>
  <c r="D1420" i="2"/>
  <c r="C1420" i="2"/>
  <c r="E1419" i="2"/>
  <c r="D1419" i="2"/>
  <c r="C1419" i="2"/>
  <c r="E1418" i="2"/>
  <c r="D1418" i="2"/>
  <c r="C1418" i="2"/>
  <c r="E1417" i="2"/>
  <c r="D1417" i="2"/>
  <c r="C1417" i="2"/>
  <c r="E1416" i="2"/>
  <c r="D1416" i="2"/>
  <c r="C1416" i="2"/>
  <c r="E1415" i="2"/>
  <c r="D1415" i="2"/>
  <c r="C1415" i="2"/>
  <c r="E1414" i="2"/>
  <c r="D1414" i="2"/>
  <c r="C1414" i="2"/>
  <c r="E1413" i="2"/>
  <c r="D1413" i="2"/>
  <c r="C1413" i="2"/>
  <c r="E1412" i="2"/>
  <c r="D1412" i="2"/>
  <c r="C1412" i="2"/>
  <c r="E1411" i="2"/>
  <c r="D1411" i="2"/>
  <c r="C1411" i="2"/>
  <c r="E1410" i="2"/>
  <c r="D1410" i="2"/>
  <c r="C1410" i="2"/>
  <c r="E1409" i="2"/>
  <c r="D1409" i="2"/>
  <c r="C1409" i="2"/>
  <c r="E1408" i="2"/>
  <c r="D1408" i="2"/>
  <c r="C1408" i="2"/>
  <c r="E1407" i="2"/>
  <c r="D1407" i="2"/>
  <c r="C1407" i="2"/>
  <c r="E1406" i="2"/>
  <c r="D1406" i="2"/>
  <c r="C1406" i="2"/>
  <c r="E1405" i="2"/>
  <c r="D1405" i="2"/>
  <c r="C1405" i="2"/>
  <c r="E1404" i="2"/>
  <c r="D1404" i="2"/>
  <c r="C1404" i="2"/>
  <c r="E1403" i="2"/>
  <c r="D1403" i="2"/>
  <c r="C1403" i="2"/>
  <c r="E1402" i="2"/>
  <c r="D1402" i="2"/>
  <c r="C1402" i="2"/>
  <c r="E1401" i="2"/>
  <c r="D1401" i="2"/>
  <c r="C1401" i="2"/>
  <c r="E1400" i="2"/>
  <c r="D1400" i="2"/>
  <c r="C1400" i="2"/>
  <c r="E1399" i="2"/>
  <c r="D1399" i="2"/>
  <c r="C1399" i="2"/>
  <c r="E1398" i="2"/>
  <c r="D1398" i="2"/>
  <c r="C1398" i="2"/>
  <c r="E1397" i="2"/>
  <c r="D1397" i="2"/>
  <c r="C1397" i="2"/>
  <c r="E1396" i="2"/>
  <c r="D1396" i="2"/>
  <c r="C1396" i="2"/>
  <c r="E1395" i="2"/>
  <c r="D1395" i="2"/>
  <c r="C1395" i="2"/>
  <c r="E1394" i="2"/>
  <c r="D1394" i="2"/>
  <c r="C1394" i="2"/>
  <c r="E1393" i="2"/>
  <c r="D1393" i="2"/>
  <c r="C1393" i="2"/>
  <c r="E1392" i="2"/>
  <c r="D1392" i="2"/>
  <c r="C1392" i="2"/>
  <c r="E1391" i="2"/>
  <c r="D1391" i="2"/>
  <c r="C1391" i="2"/>
  <c r="E1390" i="2"/>
  <c r="D1390" i="2"/>
  <c r="C1390" i="2"/>
  <c r="E1389" i="2"/>
  <c r="D1389" i="2"/>
  <c r="C1389" i="2"/>
  <c r="E1388" i="2"/>
  <c r="D1388" i="2"/>
  <c r="C1388" i="2"/>
  <c r="E1387" i="2"/>
  <c r="D1387" i="2"/>
  <c r="C1387" i="2"/>
  <c r="E1386" i="2"/>
  <c r="D1386" i="2"/>
  <c r="C1386" i="2"/>
  <c r="E1385" i="2"/>
  <c r="D1385" i="2"/>
  <c r="C1385" i="2"/>
  <c r="E1384" i="2"/>
  <c r="D1384" i="2"/>
  <c r="C1384" i="2"/>
  <c r="E1383" i="2"/>
  <c r="D1383" i="2"/>
  <c r="C1383" i="2"/>
  <c r="E1382" i="2"/>
  <c r="D1382" i="2"/>
  <c r="C1382" i="2"/>
  <c r="E1381" i="2"/>
  <c r="D1381" i="2"/>
  <c r="C1381" i="2"/>
  <c r="E1380" i="2"/>
  <c r="D1380" i="2"/>
  <c r="C1380" i="2"/>
  <c r="E1379" i="2"/>
  <c r="D1379" i="2"/>
  <c r="C1379" i="2"/>
  <c r="E1378" i="2"/>
  <c r="D1378" i="2"/>
  <c r="C1378" i="2"/>
  <c r="E1377" i="2"/>
  <c r="D1377" i="2"/>
  <c r="C1377" i="2"/>
  <c r="E1376" i="2"/>
  <c r="D1376" i="2"/>
  <c r="C1376" i="2"/>
  <c r="E1375" i="2"/>
  <c r="D1375" i="2"/>
  <c r="C1375" i="2"/>
  <c r="E1374" i="2"/>
  <c r="D1374" i="2"/>
  <c r="C1374" i="2"/>
  <c r="E1373" i="2"/>
  <c r="D1373" i="2"/>
  <c r="C1373" i="2"/>
  <c r="E1372" i="2"/>
  <c r="D1372" i="2"/>
  <c r="C1372" i="2"/>
  <c r="E1371" i="2"/>
  <c r="D1371" i="2"/>
  <c r="C1371" i="2"/>
  <c r="E1370" i="2"/>
  <c r="D1370" i="2"/>
  <c r="C1370" i="2"/>
  <c r="E1369" i="2"/>
  <c r="D1369" i="2"/>
  <c r="C1369" i="2"/>
  <c r="E1368" i="2"/>
  <c r="D1368" i="2"/>
  <c r="C1368" i="2"/>
  <c r="E1367" i="2"/>
  <c r="D1367" i="2"/>
  <c r="C1367" i="2"/>
  <c r="E1366" i="2"/>
  <c r="D1366" i="2"/>
  <c r="C1366" i="2"/>
  <c r="E1365" i="2"/>
  <c r="D1365" i="2"/>
  <c r="C1365" i="2"/>
  <c r="E1364" i="2"/>
  <c r="D1364" i="2"/>
  <c r="C1364" i="2"/>
  <c r="E1363" i="2"/>
  <c r="D1363" i="2"/>
  <c r="C1363" i="2"/>
  <c r="E1362" i="2"/>
  <c r="D1362" i="2"/>
  <c r="C1362" i="2"/>
  <c r="E1361" i="2"/>
  <c r="D1361" i="2"/>
  <c r="C1361" i="2"/>
  <c r="E1360" i="2"/>
  <c r="D1360" i="2"/>
  <c r="C1360" i="2"/>
  <c r="E1359" i="2"/>
  <c r="D1359" i="2"/>
  <c r="C1359" i="2"/>
  <c r="E1358" i="2"/>
  <c r="D1358" i="2"/>
  <c r="C1358" i="2"/>
  <c r="E1357" i="2"/>
  <c r="D1357" i="2"/>
  <c r="C1357" i="2"/>
  <c r="E1356" i="2"/>
  <c r="D1356" i="2"/>
  <c r="C1356" i="2"/>
  <c r="E1355" i="2"/>
  <c r="D1355" i="2"/>
  <c r="C1355" i="2"/>
  <c r="E1354" i="2"/>
  <c r="D1354" i="2"/>
  <c r="C1354" i="2"/>
  <c r="E1353" i="2"/>
  <c r="D1353" i="2"/>
  <c r="C1353" i="2"/>
  <c r="E1352" i="2"/>
  <c r="D1352" i="2"/>
  <c r="C1352" i="2"/>
  <c r="E1351" i="2"/>
  <c r="D1351" i="2"/>
  <c r="C1351" i="2"/>
  <c r="E1350" i="2"/>
  <c r="D1350" i="2"/>
  <c r="C1350" i="2"/>
  <c r="E1349" i="2"/>
  <c r="D1349" i="2"/>
  <c r="C1349" i="2"/>
  <c r="E1348" i="2"/>
  <c r="D1348" i="2"/>
  <c r="C1348" i="2"/>
  <c r="E1347" i="2"/>
  <c r="D1347" i="2"/>
  <c r="C1347" i="2"/>
  <c r="E1346" i="2"/>
  <c r="D1346" i="2"/>
  <c r="C1346" i="2"/>
  <c r="E1345" i="2"/>
  <c r="D1345" i="2"/>
  <c r="C1345" i="2"/>
  <c r="E1344" i="2"/>
  <c r="D1344" i="2"/>
  <c r="C1344" i="2"/>
  <c r="E1343" i="2"/>
  <c r="D1343" i="2"/>
  <c r="C1343" i="2"/>
  <c r="E1342" i="2"/>
  <c r="D1342" i="2"/>
  <c r="C1342" i="2"/>
  <c r="E1341" i="2"/>
  <c r="D1341" i="2"/>
  <c r="C1341" i="2"/>
  <c r="E1340" i="2"/>
  <c r="D1340" i="2"/>
  <c r="C1340" i="2"/>
  <c r="E1339" i="2"/>
  <c r="D1339" i="2"/>
  <c r="C1339" i="2"/>
  <c r="E1338" i="2"/>
  <c r="D1338" i="2"/>
  <c r="C1338" i="2"/>
  <c r="E1337" i="2"/>
  <c r="D1337" i="2"/>
  <c r="C1337" i="2"/>
  <c r="E1336" i="2"/>
  <c r="D1336" i="2"/>
  <c r="C1336" i="2"/>
  <c r="E1335" i="2"/>
  <c r="D1335" i="2"/>
  <c r="C1335" i="2"/>
  <c r="E1334" i="2"/>
  <c r="D1334" i="2"/>
  <c r="C1334" i="2"/>
  <c r="E1333" i="2"/>
  <c r="D1333" i="2"/>
  <c r="C1333" i="2"/>
  <c r="E1332" i="2"/>
  <c r="D1332" i="2"/>
  <c r="C1332" i="2"/>
  <c r="E1331" i="2"/>
  <c r="D1331" i="2"/>
  <c r="C1331" i="2"/>
  <c r="E1330" i="2"/>
  <c r="D1330" i="2"/>
  <c r="C1330" i="2"/>
  <c r="E1329" i="2"/>
  <c r="D1329" i="2"/>
  <c r="C1329" i="2"/>
  <c r="E1328" i="2"/>
  <c r="D1328" i="2"/>
  <c r="C1328" i="2"/>
  <c r="E1327" i="2"/>
  <c r="D1327" i="2"/>
  <c r="C1327" i="2"/>
  <c r="E1326" i="2"/>
  <c r="D1326" i="2"/>
  <c r="C1326" i="2"/>
  <c r="E1325" i="2"/>
  <c r="D1325" i="2"/>
  <c r="C1325" i="2"/>
  <c r="E1324" i="2"/>
  <c r="D1324" i="2"/>
  <c r="C1324" i="2"/>
  <c r="E1323" i="2"/>
  <c r="D1323" i="2"/>
  <c r="C1323" i="2"/>
  <c r="E1322" i="2"/>
  <c r="D1322" i="2"/>
  <c r="C1322" i="2"/>
  <c r="E1321" i="2"/>
  <c r="D1321" i="2"/>
  <c r="C1321" i="2"/>
  <c r="E1320" i="2"/>
  <c r="D1320" i="2"/>
  <c r="C1320" i="2"/>
  <c r="E1319" i="2"/>
  <c r="D1319" i="2"/>
  <c r="C1319" i="2"/>
  <c r="E1318" i="2"/>
  <c r="D1318" i="2"/>
  <c r="C1318" i="2"/>
  <c r="E1317" i="2"/>
  <c r="D1317" i="2"/>
  <c r="C1317" i="2"/>
  <c r="E1316" i="2"/>
  <c r="D1316" i="2"/>
  <c r="C1316" i="2"/>
  <c r="E1315" i="2"/>
  <c r="D1315" i="2"/>
  <c r="C1315" i="2"/>
  <c r="E1314" i="2"/>
  <c r="D1314" i="2"/>
  <c r="C1314" i="2"/>
  <c r="E1313" i="2"/>
  <c r="D1313" i="2"/>
  <c r="C1313" i="2"/>
  <c r="E1312" i="2"/>
  <c r="D1312" i="2"/>
  <c r="C1312" i="2"/>
  <c r="E1311" i="2"/>
  <c r="D1311" i="2"/>
  <c r="C1311" i="2"/>
  <c r="E1310" i="2"/>
  <c r="D1310" i="2"/>
  <c r="C1310" i="2"/>
  <c r="E1309" i="2"/>
  <c r="D1309" i="2"/>
  <c r="C1309" i="2"/>
  <c r="E1308" i="2"/>
  <c r="D1308" i="2"/>
  <c r="C1308" i="2"/>
  <c r="E1307" i="2"/>
  <c r="D1307" i="2"/>
  <c r="C1307" i="2"/>
  <c r="E1306" i="2"/>
  <c r="D1306" i="2"/>
  <c r="C1306" i="2"/>
  <c r="E1305" i="2"/>
  <c r="D1305" i="2"/>
  <c r="C1305" i="2"/>
  <c r="E1304" i="2"/>
  <c r="D1304" i="2"/>
  <c r="C1304" i="2"/>
  <c r="E1303" i="2"/>
  <c r="D1303" i="2"/>
  <c r="C1303" i="2"/>
  <c r="E1302" i="2"/>
  <c r="D1302" i="2"/>
  <c r="C1302" i="2"/>
  <c r="E1301" i="2"/>
  <c r="D1301" i="2"/>
  <c r="C1301" i="2"/>
  <c r="E1300" i="2"/>
  <c r="D1300" i="2"/>
  <c r="C1300" i="2"/>
  <c r="E1299" i="2"/>
  <c r="D1299" i="2"/>
  <c r="C1299" i="2"/>
  <c r="E1298" i="2"/>
  <c r="D1298" i="2"/>
  <c r="C1298" i="2"/>
  <c r="E1297" i="2"/>
  <c r="D1297" i="2"/>
  <c r="C1297" i="2"/>
  <c r="E1296" i="2"/>
  <c r="D1296" i="2"/>
  <c r="C1296" i="2"/>
  <c r="E1295" i="2"/>
  <c r="D1295" i="2"/>
  <c r="C1295" i="2"/>
  <c r="E1294" i="2"/>
  <c r="D1294" i="2"/>
  <c r="C1294" i="2"/>
  <c r="E1293" i="2"/>
  <c r="D1293" i="2"/>
  <c r="C1293" i="2"/>
  <c r="E1292" i="2"/>
  <c r="D1292" i="2"/>
  <c r="C1292" i="2"/>
  <c r="E1291" i="2"/>
  <c r="D1291" i="2"/>
  <c r="C1291" i="2"/>
  <c r="E1290" i="2"/>
  <c r="D1290" i="2"/>
  <c r="C1290" i="2"/>
  <c r="E1289" i="2"/>
  <c r="D1289" i="2"/>
  <c r="C1289" i="2"/>
  <c r="E1288" i="2"/>
  <c r="D1288" i="2"/>
  <c r="C1288" i="2"/>
  <c r="E1287" i="2"/>
  <c r="D1287" i="2"/>
  <c r="C1287" i="2"/>
  <c r="E1286" i="2"/>
  <c r="D1286" i="2"/>
  <c r="C1286" i="2"/>
  <c r="E1285" i="2"/>
  <c r="D1285" i="2"/>
  <c r="C1285" i="2"/>
  <c r="E1284" i="2"/>
  <c r="D1284" i="2"/>
  <c r="C1284" i="2"/>
  <c r="E1283" i="2"/>
  <c r="D1283" i="2"/>
  <c r="C1283" i="2"/>
  <c r="E1282" i="2"/>
  <c r="D1282" i="2"/>
  <c r="C1282" i="2"/>
  <c r="E1281" i="2"/>
  <c r="D1281" i="2"/>
  <c r="C1281" i="2"/>
  <c r="E1280" i="2"/>
  <c r="D1280" i="2"/>
  <c r="C1280" i="2"/>
  <c r="E1279" i="2"/>
  <c r="D1279" i="2"/>
  <c r="C1279" i="2"/>
  <c r="E1278" i="2"/>
  <c r="D1278" i="2"/>
  <c r="C1278" i="2"/>
  <c r="E1277" i="2"/>
  <c r="D1277" i="2"/>
  <c r="C1277" i="2"/>
  <c r="E1276" i="2"/>
  <c r="D1276" i="2"/>
  <c r="C1276" i="2"/>
  <c r="E1275" i="2"/>
  <c r="D1275" i="2"/>
  <c r="C1275" i="2"/>
  <c r="E1274" i="2"/>
  <c r="D1274" i="2"/>
  <c r="C1274" i="2"/>
  <c r="E1273" i="2"/>
  <c r="D1273" i="2"/>
  <c r="C1273" i="2"/>
  <c r="E1272" i="2"/>
  <c r="D1272" i="2"/>
  <c r="C1272" i="2"/>
  <c r="E1271" i="2"/>
  <c r="D1271" i="2"/>
  <c r="C1271" i="2"/>
  <c r="E1270" i="2"/>
  <c r="D1270" i="2"/>
  <c r="C1270" i="2"/>
  <c r="E1269" i="2"/>
  <c r="D1269" i="2"/>
  <c r="C1269" i="2"/>
  <c r="E1268" i="2"/>
  <c r="D1268" i="2"/>
  <c r="C1268" i="2"/>
  <c r="E1267" i="2"/>
  <c r="D1267" i="2"/>
  <c r="C1267" i="2"/>
  <c r="E1266" i="2"/>
  <c r="D1266" i="2"/>
  <c r="C1266" i="2"/>
  <c r="E1265" i="2"/>
  <c r="D1265" i="2"/>
  <c r="C1265" i="2"/>
  <c r="E1264" i="2"/>
  <c r="D1264" i="2"/>
  <c r="C1264" i="2"/>
  <c r="E1263" i="2"/>
  <c r="D1263" i="2"/>
  <c r="C1263" i="2"/>
  <c r="E1262" i="2"/>
  <c r="D1262" i="2"/>
  <c r="C1262" i="2"/>
  <c r="E1261" i="2"/>
  <c r="D1261" i="2"/>
  <c r="C1261" i="2"/>
  <c r="E1260" i="2"/>
  <c r="D1260" i="2"/>
  <c r="C1260" i="2"/>
  <c r="E1259" i="2"/>
  <c r="D1259" i="2"/>
  <c r="C1259" i="2"/>
  <c r="E1258" i="2"/>
  <c r="D1258" i="2"/>
  <c r="C1258" i="2"/>
  <c r="E1257" i="2"/>
  <c r="D1257" i="2"/>
  <c r="C1257" i="2"/>
  <c r="E1256" i="2"/>
  <c r="D1256" i="2"/>
  <c r="C1256" i="2"/>
  <c r="E1255" i="2"/>
  <c r="D1255" i="2"/>
  <c r="C1255" i="2"/>
  <c r="E1254" i="2"/>
  <c r="D1254" i="2"/>
  <c r="C1254" i="2"/>
  <c r="E1253" i="2"/>
  <c r="D1253" i="2"/>
  <c r="C1253" i="2"/>
  <c r="E1252" i="2"/>
  <c r="D1252" i="2"/>
  <c r="C1252" i="2"/>
  <c r="E1251" i="2"/>
  <c r="D1251" i="2"/>
  <c r="C1251" i="2"/>
  <c r="E1250" i="2"/>
  <c r="D1250" i="2"/>
  <c r="C1250" i="2"/>
  <c r="E1249" i="2"/>
  <c r="D1249" i="2"/>
  <c r="C1249" i="2"/>
  <c r="E1248" i="2"/>
  <c r="D1248" i="2"/>
  <c r="C1248" i="2"/>
  <c r="E1247" i="2"/>
  <c r="D1247" i="2"/>
  <c r="C1247" i="2"/>
  <c r="E1246" i="2"/>
  <c r="D1246" i="2"/>
  <c r="C1246" i="2"/>
  <c r="E1245" i="2"/>
  <c r="D1245" i="2"/>
  <c r="C1245" i="2"/>
  <c r="E1244" i="2"/>
  <c r="D1244" i="2"/>
  <c r="C1244" i="2"/>
  <c r="E1243" i="2"/>
  <c r="D1243" i="2"/>
  <c r="C1243" i="2"/>
  <c r="E1242" i="2"/>
  <c r="D1242" i="2"/>
  <c r="C1242" i="2"/>
  <c r="E1241" i="2"/>
  <c r="D1241" i="2"/>
  <c r="C1241" i="2"/>
  <c r="E1240" i="2"/>
  <c r="D1240" i="2"/>
  <c r="C1240" i="2"/>
  <c r="E1239" i="2"/>
  <c r="D1239" i="2"/>
  <c r="C1239" i="2"/>
  <c r="E1238" i="2"/>
  <c r="D1238" i="2"/>
  <c r="C1238" i="2"/>
  <c r="E1237" i="2"/>
  <c r="D1237" i="2"/>
  <c r="C1237" i="2"/>
  <c r="E1236" i="2"/>
  <c r="D1236" i="2"/>
  <c r="C1236" i="2"/>
  <c r="E1235" i="2"/>
  <c r="D1235" i="2"/>
  <c r="C1235" i="2"/>
  <c r="E1234" i="2"/>
  <c r="D1234" i="2"/>
  <c r="C1234" i="2"/>
  <c r="E1233" i="2"/>
  <c r="D1233" i="2"/>
  <c r="C1233" i="2"/>
  <c r="E1232" i="2"/>
  <c r="D1232" i="2"/>
  <c r="C1232" i="2"/>
  <c r="E1231" i="2"/>
  <c r="D1231" i="2"/>
  <c r="C1231" i="2"/>
  <c r="E1230" i="2"/>
  <c r="D1230" i="2"/>
  <c r="C1230" i="2"/>
  <c r="E1229" i="2"/>
  <c r="D1229" i="2"/>
  <c r="C1229" i="2"/>
  <c r="E1228" i="2"/>
  <c r="D1228" i="2"/>
  <c r="C1228" i="2"/>
  <c r="E1227" i="2"/>
  <c r="D1227" i="2"/>
  <c r="C1227" i="2"/>
  <c r="E1226" i="2"/>
  <c r="D1226" i="2"/>
  <c r="C1226" i="2"/>
  <c r="E1225" i="2"/>
  <c r="D1225" i="2"/>
  <c r="C1225" i="2"/>
  <c r="E1224" i="2"/>
  <c r="D1224" i="2"/>
  <c r="C1224" i="2"/>
  <c r="E1223" i="2"/>
  <c r="D1223" i="2"/>
  <c r="C1223" i="2"/>
  <c r="E1222" i="2"/>
  <c r="D1222" i="2"/>
  <c r="C1222" i="2"/>
  <c r="E1221" i="2"/>
  <c r="D1221" i="2"/>
  <c r="C1221" i="2"/>
  <c r="E1220" i="2"/>
  <c r="D1220" i="2"/>
  <c r="C1220" i="2"/>
  <c r="E1219" i="2"/>
  <c r="D1219" i="2"/>
  <c r="C1219" i="2"/>
  <c r="E1218" i="2"/>
  <c r="D1218" i="2"/>
  <c r="C1218" i="2"/>
  <c r="E1217" i="2"/>
  <c r="D1217" i="2"/>
  <c r="C1217" i="2"/>
  <c r="E1216" i="2"/>
  <c r="D1216" i="2"/>
  <c r="C1216" i="2"/>
  <c r="E1215" i="2"/>
  <c r="D1215" i="2"/>
  <c r="C1215" i="2"/>
  <c r="E1214" i="2"/>
  <c r="D1214" i="2"/>
  <c r="C1214" i="2"/>
  <c r="E1213" i="2"/>
  <c r="D1213" i="2"/>
  <c r="C1213" i="2"/>
  <c r="E1212" i="2"/>
  <c r="D1212" i="2"/>
  <c r="C1212" i="2"/>
  <c r="E1211" i="2"/>
  <c r="D1211" i="2"/>
  <c r="C1211" i="2"/>
  <c r="E1210" i="2"/>
  <c r="D1210" i="2"/>
  <c r="C1210" i="2"/>
  <c r="E1209" i="2"/>
  <c r="D1209" i="2"/>
  <c r="C1209" i="2"/>
  <c r="E1208" i="2"/>
  <c r="D1208" i="2"/>
  <c r="C1208" i="2"/>
  <c r="E1207" i="2"/>
  <c r="D1207" i="2"/>
  <c r="C1207" i="2"/>
  <c r="E1206" i="2"/>
  <c r="D1206" i="2"/>
  <c r="C1206" i="2"/>
  <c r="E1205" i="2"/>
  <c r="D1205" i="2"/>
  <c r="C1205" i="2"/>
  <c r="E1204" i="2"/>
  <c r="D1204" i="2"/>
  <c r="C1204" i="2"/>
  <c r="E1203" i="2"/>
  <c r="D1203" i="2"/>
  <c r="C1203" i="2"/>
  <c r="E1202" i="2"/>
  <c r="D1202" i="2"/>
  <c r="C1202" i="2"/>
  <c r="E1201" i="2"/>
  <c r="D1201" i="2"/>
  <c r="C1201" i="2"/>
  <c r="E1200" i="2"/>
  <c r="D1200" i="2"/>
  <c r="C1200" i="2"/>
  <c r="E1199" i="2"/>
  <c r="D1199" i="2"/>
  <c r="C1199" i="2"/>
  <c r="E1198" i="2"/>
  <c r="D1198" i="2"/>
  <c r="C1198" i="2"/>
  <c r="E1197" i="2"/>
  <c r="D1197" i="2"/>
  <c r="C1197" i="2"/>
  <c r="E1196" i="2"/>
  <c r="D1196" i="2"/>
  <c r="C1196" i="2"/>
  <c r="E1195" i="2"/>
  <c r="D1195" i="2"/>
  <c r="C1195" i="2"/>
  <c r="E1194" i="2"/>
  <c r="D1194" i="2"/>
  <c r="C1194" i="2"/>
  <c r="E1193" i="2"/>
  <c r="D1193" i="2"/>
  <c r="C1193" i="2"/>
  <c r="E1192" i="2"/>
  <c r="D1192" i="2"/>
  <c r="C1192" i="2"/>
  <c r="E1191" i="2"/>
  <c r="D1191" i="2"/>
  <c r="C1191" i="2"/>
  <c r="E1190" i="2"/>
  <c r="D1190" i="2"/>
  <c r="C1190" i="2"/>
  <c r="E1189" i="2"/>
  <c r="D1189" i="2"/>
  <c r="C1189" i="2"/>
  <c r="E1188" i="2"/>
  <c r="D1188" i="2"/>
  <c r="C1188" i="2"/>
  <c r="E1187" i="2"/>
  <c r="D1187" i="2"/>
  <c r="C1187" i="2"/>
  <c r="E1186" i="2"/>
  <c r="D1186" i="2"/>
  <c r="C1186" i="2"/>
  <c r="E1185" i="2"/>
  <c r="D1185" i="2"/>
  <c r="C1185" i="2"/>
  <c r="E1184" i="2"/>
  <c r="D1184" i="2"/>
  <c r="C1184" i="2"/>
  <c r="E1183" i="2"/>
  <c r="D1183" i="2"/>
  <c r="C1183" i="2"/>
  <c r="E1182" i="2"/>
  <c r="D1182" i="2"/>
  <c r="C1182" i="2"/>
  <c r="E1181" i="2"/>
  <c r="D1181" i="2"/>
  <c r="C1181" i="2"/>
  <c r="E1180" i="2"/>
  <c r="D1180" i="2"/>
  <c r="C1180" i="2"/>
  <c r="E1179" i="2"/>
  <c r="D1179" i="2"/>
  <c r="C1179" i="2"/>
  <c r="E1178" i="2"/>
  <c r="D1178" i="2"/>
  <c r="C1178" i="2"/>
  <c r="E1177" i="2"/>
  <c r="D1177" i="2"/>
  <c r="C1177" i="2"/>
  <c r="E1176" i="2"/>
  <c r="D1176" i="2"/>
  <c r="C1176" i="2"/>
  <c r="E1175" i="2"/>
  <c r="D1175" i="2"/>
  <c r="C1175" i="2"/>
  <c r="E1174" i="2"/>
  <c r="D1174" i="2"/>
  <c r="C1174" i="2"/>
  <c r="E1173" i="2"/>
  <c r="D1173" i="2"/>
  <c r="C1173" i="2"/>
  <c r="E1172" i="2"/>
  <c r="D1172" i="2"/>
  <c r="C1172" i="2"/>
  <c r="E1171" i="2"/>
  <c r="D1171" i="2"/>
  <c r="C1171" i="2"/>
  <c r="E1170" i="2"/>
  <c r="D1170" i="2"/>
  <c r="C1170" i="2"/>
  <c r="E1169" i="2"/>
  <c r="D1169" i="2"/>
  <c r="C1169" i="2"/>
  <c r="E1168" i="2"/>
  <c r="D1168" i="2"/>
  <c r="C1168" i="2"/>
  <c r="E1167" i="2"/>
  <c r="D1167" i="2"/>
  <c r="C1167" i="2"/>
  <c r="E1166" i="2"/>
  <c r="D1166" i="2"/>
  <c r="C1166" i="2"/>
  <c r="E1165" i="2"/>
  <c r="D1165" i="2"/>
  <c r="C1165" i="2"/>
  <c r="E1164" i="2"/>
  <c r="D1164" i="2"/>
  <c r="C1164" i="2"/>
  <c r="E1163" i="2"/>
  <c r="D1163" i="2"/>
  <c r="C1163" i="2"/>
  <c r="E1162" i="2"/>
  <c r="D1162" i="2"/>
  <c r="C1162" i="2"/>
  <c r="E1161" i="2"/>
  <c r="D1161" i="2"/>
  <c r="C1161" i="2"/>
  <c r="E1160" i="2"/>
  <c r="D1160" i="2"/>
  <c r="C1160" i="2"/>
  <c r="E1159" i="2"/>
  <c r="D1159" i="2"/>
  <c r="C1159" i="2"/>
  <c r="E1158" i="2"/>
  <c r="D1158" i="2"/>
  <c r="C1158" i="2"/>
  <c r="E1157" i="2"/>
  <c r="D1157" i="2"/>
  <c r="C1157" i="2"/>
  <c r="E1156" i="2"/>
  <c r="D1156" i="2"/>
  <c r="C1156" i="2"/>
  <c r="E1155" i="2"/>
  <c r="D1155" i="2"/>
  <c r="C1155" i="2"/>
  <c r="E1154" i="2"/>
  <c r="D1154" i="2"/>
  <c r="C1154" i="2"/>
  <c r="E1153" i="2"/>
  <c r="D1153" i="2"/>
  <c r="C1153" i="2"/>
  <c r="E1152" i="2"/>
  <c r="D1152" i="2"/>
  <c r="C1152" i="2"/>
  <c r="E1151" i="2"/>
  <c r="D1151" i="2"/>
  <c r="C1151" i="2"/>
  <c r="E1150" i="2"/>
  <c r="D1150" i="2"/>
  <c r="C1150" i="2"/>
  <c r="E1149" i="2"/>
  <c r="D1149" i="2"/>
  <c r="C1149" i="2"/>
  <c r="E1148" i="2"/>
  <c r="D1148" i="2"/>
  <c r="C1148" i="2"/>
  <c r="E1147" i="2"/>
  <c r="D1147" i="2"/>
  <c r="C1147" i="2"/>
  <c r="E1146" i="2"/>
  <c r="D1146" i="2"/>
  <c r="C1146" i="2"/>
  <c r="E1145" i="2"/>
  <c r="D1145" i="2"/>
  <c r="C1145" i="2"/>
  <c r="E1144" i="2"/>
  <c r="D1144" i="2"/>
  <c r="C1144" i="2"/>
  <c r="E1143" i="2"/>
  <c r="D1143" i="2"/>
  <c r="C1143" i="2"/>
  <c r="E1142" i="2"/>
  <c r="D1142" i="2"/>
  <c r="C1142" i="2"/>
  <c r="E1141" i="2"/>
  <c r="D1141" i="2"/>
  <c r="C1141" i="2"/>
  <c r="E1140" i="2"/>
  <c r="D1140" i="2"/>
  <c r="C1140" i="2"/>
  <c r="E1139" i="2"/>
  <c r="D1139" i="2"/>
  <c r="C1139" i="2"/>
  <c r="E1138" i="2"/>
  <c r="D1138" i="2"/>
  <c r="C1138" i="2"/>
  <c r="E1137" i="2"/>
  <c r="D1137" i="2"/>
  <c r="C1137" i="2"/>
  <c r="E1136" i="2"/>
  <c r="D1136" i="2"/>
  <c r="C1136" i="2"/>
  <c r="E1135" i="2"/>
  <c r="D1135" i="2"/>
  <c r="C1135" i="2"/>
  <c r="E1134" i="2"/>
  <c r="D1134" i="2"/>
  <c r="C1134" i="2"/>
  <c r="E1133" i="2"/>
  <c r="D1133" i="2"/>
  <c r="C1133" i="2"/>
  <c r="E1132" i="2"/>
  <c r="D1132" i="2"/>
  <c r="C1132" i="2"/>
  <c r="E1131" i="2"/>
  <c r="D1131" i="2"/>
  <c r="C1131" i="2"/>
  <c r="E1130" i="2"/>
  <c r="D1130" i="2"/>
  <c r="C1130" i="2"/>
  <c r="E1129" i="2"/>
  <c r="D1129" i="2"/>
  <c r="C1129" i="2"/>
  <c r="E1128" i="2"/>
  <c r="D1128" i="2"/>
  <c r="C1128" i="2"/>
  <c r="E1127" i="2"/>
  <c r="D1127" i="2"/>
  <c r="C1127" i="2"/>
  <c r="E1126" i="2"/>
  <c r="D1126" i="2"/>
  <c r="C1126" i="2"/>
  <c r="E1125" i="2"/>
  <c r="D1125" i="2"/>
  <c r="C1125" i="2"/>
  <c r="E1124" i="2"/>
  <c r="D1124" i="2"/>
  <c r="C1124" i="2"/>
  <c r="E1123" i="2"/>
  <c r="D1123" i="2"/>
  <c r="C1123" i="2"/>
  <c r="E1122" i="2"/>
  <c r="D1122" i="2"/>
  <c r="C1122" i="2"/>
  <c r="E1121" i="2"/>
  <c r="D1121" i="2"/>
  <c r="C1121" i="2"/>
  <c r="E1120" i="2"/>
  <c r="D1120" i="2"/>
  <c r="C1120" i="2"/>
  <c r="E1119" i="2"/>
  <c r="D1119" i="2"/>
  <c r="C1119" i="2"/>
  <c r="E1118" i="2"/>
  <c r="D1118" i="2"/>
  <c r="C1118" i="2"/>
  <c r="E1117" i="2"/>
  <c r="D1117" i="2"/>
  <c r="C1117" i="2"/>
  <c r="E1116" i="2"/>
  <c r="D1116" i="2"/>
  <c r="C1116" i="2"/>
  <c r="E1115" i="2"/>
  <c r="D1115" i="2"/>
  <c r="C1115" i="2"/>
  <c r="E1114" i="2"/>
  <c r="D1114" i="2"/>
  <c r="C1114" i="2"/>
  <c r="E1113" i="2"/>
  <c r="D1113" i="2"/>
  <c r="C1113" i="2"/>
  <c r="E1112" i="2"/>
  <c r="D1112" i="2"/>
  <c r="C1112" i="2"/>
  <c r="E1111" i="2"/>
  <c r="D1111" i="2"/>
  <c r="C1111" i="2"/>
  <c r="E1110" i="2"/>
  <c r="D1110" i="2"/>
  <c r="C1110" i="2"/>
  <c r="E1109" i="2"/>
  <c r="D1109" i="2"/>
  <c r="C1109" i="2"/>
  <c r="E1108" i="2"/>
  <c r="D1108" i="2"/>
  <c r="C1108" i="2"/>
  <c r="E1107" i="2"/>
  <c r="D1107" i="2"/>
  <c r="C1107" i="2"/>
  <c r="E1106" i="2"/>
  <c r="D1106" i="2"/>
  <c r="C1106" i="2"/>
  <c r="E1105" i="2"/>
  <c r="D1105" i="2"/>
  <c r="C1105" i="2"/>
  <c r="E1104" i="2"/>
  <c r="D1104" i="2"/>
  <c r="C1104" i="2"/>
  <c r="E1103" i="2"/>
  <c r="D1103" i="2"/>
  <c r="C1103" i="2"/>
  <c r="E1102" i="2"/>
  <c r="D1102" i="2"/>
  <c r="C1102" i="2"/>
  <c r="E1101" i="2"/>
  <c r="D1101" i="2"/>
  <c r="C1101" i="2"/>
  <c r="E1100" i="2"/>
  <c r="D1100" i="2"/>
  <c r="C1100" i="2"/>
  <c r="E1099" i="2"/>
  <c r="D1099" i="2"/>
  <c r="C1099" i="2"/>
  <c r="E1098" i="2"/>
  <c r="D1098" i="2"/>
  <c r="C1098" i="2"/>
  <c r="E1097" i="2"/>
  <c r="D1097" i="2"/>
  <c r="C1097" i="2"/>
  <c r="E1096" i="2"/>
  <c r="D1096" i="2"/>
  <c r="C1096" i="2"/>
  <c r="E1095" i="2"/>
  <c r="D1095" i="2"/>
  <c r="C1095" i="2"/>
  <c r="E1094" i="2"/>
  <c r="D1094" i="2"/>
  <c r="C1094" i="2"/>
  <c r="E1093" i="2"/>
  <c r="D1093" i="2"/>
  <c r="C1093" i="2"/>
  <c r="E1092" i="2"/>
  <c r="D1092" i="2"/>
  <c r="C1092" i="2"/>
  <c r="E1091" i="2"/>
  <c r="D1091" i="2"/>
  <c r="C1091" i="2"/>
  <c r="E1090" i="2"/>
  <c r="D1090" i="2"/>
  <c r="C1090" i="2"/>
  <c r="E1089" i="2"/>
  <c r="D1089" i="2"/>
  <c r="C1089" i="2"/>
  <c r="E1088" i="2"/>
  <c r="D1088" i="2"/>
  <c r="C1088" i="2"/>
  <c r="E1087" i="2"/>
  <c r="D1087" i="2"/>
  <c r="C1087" i="2"/>
  <c r="E1086" i="2"/>
  <c r="D1086" i="2"/>
  <c r="C1086" i="2"/>
  <c r="E1085" i="2"/>
  <c r="D1085" i="2"/>
  <c r="C1085" i="2"/>
  <c r="E1084" i="2"/>
  <c r="D1084" i="2"/>
  <c r="C1084" i="2"/>
  <c r="E1083" i="2"/>
  <c r="D1083" i="2"/>
  <c r="C1083" i="2"/>
  <c r="E1082" i="2"/>
  <c r="D1082" i="2"/>
  <c r="C1082" i="2"/>
  <c r="E1081" i="2"/>
  <c r="D1081" i="2"/>
  <c r="C1081" i="2"/>
  <c r="E1080" i="2"/>
  <c r="D1080" i="2"/>
  <c r="C1080" i="2"/>
  <c r="E1079" i="2"/>
  <c r="D1079" i="2"/>
  <c r="C1079" i="2"/>
  <c r="E1078" i="2"/>
  <c r="D1078" i="2"/>
  <c r="C1078" i="2"/>
  <c r="E1077" i="2"/>
  <c r="D1077" i="2"/>
  <c r="C1077" i="2"/>
  <c r="E1076" i="2"/>
  <c r="D1076" i="2"/>
  <c r="C1076" i="2"/>
  <c r="E1075" i="2"/>
  <c r="D1075" i="2"/>
  <c r="C1075" i="2"/>
  <c r="E1074" i="2"/>
  <c r="D1074" i="2"/>
  <c r="C1074" i="2"/>
  <c r="E1073" i="2"/>
  <c r="D1073" i="2"/>
  <c r="C1073" i="2"/>
  <c r="E1072" i="2"/>
  <c r="D1072" i="2"/>
  <c r="C1072" i="2"/>
  <c r="E1071" i="2"/>
  <c r="D1071" i="2"/>
  <c r="C1071" i="2"/>
  <c r="E1070" i="2"/>
  <c r="D1070" i="2"/>
  <c r="C1070" i="2"/>
  <c r="E1069" i="2"/>
  <c r="D1069" i="2"/>
  <c r="C1069" i="2"/>
  <c r="E1068" i="2"/>
  <c r="D1068" i="2"/>
  <c r="C1068" i="2"/>
  <c r="E1067" i="2"/>
  <c r="D1067" i="2"/>
  <c r="C1067" i="2"/>
  <c r="E1066" i="2"/>
  <c r="D1066" i="2"/>
  <c r="C1066" i="2"/>
  <c r="E1065" i="2"/>
  <c r="D1065" i="2"/>
  <c r="C1065" i="2"/>
  <c r="E1064" i="2"/>
  <c r="D1064" i="2"/>
  <c r="C1064" i="2"/>
  <c r="E1063" i="2"/>
  <c r="D1063" i="2"/>
  <c r="C1063" i="2"/>
  <c r="E1062" i="2"/>
  <c r="D1062" i="2"/>
  <c r="C1062" i="2"/>
  <c r="E1061" i="2"/>
  <c r="D1061" i="2"/>
  <c r="C1061" i="2"/>
  <c r="E1060" i="2"/>
  <c r="D1060" i="2"/>
  <c r="C1060" i="2"/>
  <c r="E1059" i="2"/>
  <c r="D1059" i="2"/>
  <c r="C1059" i="2"/>
  <c r="E1058" i="2"/>
  <c r="D1058" i="2"/>
  <c r="C1058" i="2"/>
  <c r="E1057" i="2"/>
  <c r="D1057" i="2"/>
  <c r="C1057" i="2"/>
  <c r="E1056" i="2"/>
  <c r="D1056" i="2"/>
  <c r="C1056" i="2"/>
  <c r="E1055" i="2"/>
  <c r="D1055" i="2"/>
  <c r="C1055" i="2"/>
  <c r="E1054" i="2"/>
  <c r="D1054" i="2"/>
  <c r="C1054" i="2"/>
  <c r="E1053" i="2"/>
  <c r="D1053" i="2"/>
  <c r="C1053" i="2"/>
  <c r="E1052" i="2"/>
  <c r="D1052" i="2"/>
  <c r="C1052" i="2"/>
  <c r="E1051" i="2"/>
  <c r="D1051" i="2"/>
  <c r="C1051" i="2"/>
  <c r="E1050" i="2"/>
  <c r="D1050" i="2"/>
  <c r="C1050" i="2"/>
  <c r="E1049" i="2"/>
  <c r="D1049" i="2"/>
  <c r="C1049" i="2"/>
  <c r="E1048" i="2"/>
  <c r="D1048" i="2"/>
  <c r="C1048" i="2"/>
  <c r="E1047" i="2"/>
  <c r="D1047" i="2"/>
  <c r="C1047" i="2"/>
  <c r="E1046" i="2"/>
  <c r="D1046" i="2"/>
  <c r="C1046" i="2"/>
  <c r="E1045" i="2"/>
  <c r="D1045" i="2"/>
  <c r="C1045" i="2"/>
  <c r="E1044" i="2"/>
  <c r="D1044" i="2"/>
  <c r="C1044" i="2"/>
  <c r="E1043" i="2"/>
  <c r="D1043" i="2"/>
  <c r="C1043" i="2"/>
  <c r="E1042" i="2"/>
  <c r="D1042" i="2"/>
  <c r="C1042" i="2"/>
  <c r="E1041" i="2"/>
  <c r="D1041" i="2"/>
  <c r="C1041" i="2"/>
  <c r="E1040" i="2"/>
  <c r="D1040" i="2"/>
  <c r="C1040" i="2"/>
  <c r="E1039" i="2"/>
  <c r="D1039" i="2"/>
  <c r="C1039" i="2"/>
  <c r="E1038" i="2"/>
  <c r="D1038" i="2"/>
  <c r="C1038" i="2"/>
  <c r="E1037" i="2"/>
  <c r="D1037" i="2"/>
  <c r="C1037" i="2"/>
  <c r="E1036" i="2"/>
  <c r="D1036" i="2"/>
  <c r="C1036" i="2"/>
  <c r="E1035" i="2"/>
  <c r="D1035" i="2"/>
  <c r="C1035" i="2"/>
  <c r="E1034" i="2"/>
  <c r="D1034" i="2"/>
  <c r="C1034" i="2"/>
  <c r="E1033" i="2"/>
  <c r="D1033" i="2"/>
  <c r="C1033" i="2"/>
  <c r="E1032" i="2"/>
  <c r="D1032" i="2"/>
  <c r="C1032" i="2"/>
  <c r="E1031" i="2"/>
  <c r="D1031" i="2"/>
  <c r="C1031" i="2"/>
  <c r="E1030" i="2"/>
  <c r="D1030" i="2"/>
  <c r="C1030" i="2"/>
  <c r="E1029" i="2"/>
  <c r="D1029" i="2"/>
  <c r="C1029" i="2"/>
  <c r="E1028" i="2"/>
  <c r="D1028" i="2"/>
  <c r="C1028" i="2"/>
  <c r="E1027" i="2"/>
  <c r="D1027" i="2"/>
  <c r="C1027" i="2"/>
  <c r="E1026" i="2"/>
  <c r="D1026" i="2"/>
  <c r="C1026" i="2"/>
  <c r="E1025" i="2"/>
  <c r="D1025" i="2"/>
  <c r="C1025" i="2"/>
  <c r="E1024" i="2"/>
  <c r="D1024" i="2"/>
  <c r="C1024" i="2"/>
  <c r="E1023" i="2"/>
  <c r="D1023" i="2"/>
  <c r="C1023" i="2"/>
  <c r="E1022" i="2"/>
  <c r="D1022" i="2"/>
  <c r="C1022" i="2"/>
  <c r="E1021" i="2"/>
  <c r="D1021" i="2"/>
  <c r="C1021" i="2"/>
  <c r="E1020" i="2"/>
  <c r="D1020" i="2"/>
  <c r="C1020" i="2"/>
  <c r="E1019" i="2"/>
  <c r="D1019" i="2"/>
  <c r="C1019" i="2"/>
  <c r="E1018" i="2"/>
  <c r="D1018" i="2"/>
  <c r="C1018" i="2"/>
  <c r="E1017" i="2"/>
  <c r="D1017" i="2"/>
  <c r="C1017" i="2"/>
  <c r="E1016" i="2"/>
  <c r="D1016" i="2"/>
  <c r="C1016" i="2"/>
  <c r="E1015" i="2"/>
  <c r="D1015" i="2"/>
  <c r="C1015" i="2"/>
  <c r="E1014" i="2"/>
  <c r="D1014" i="2"/>
  <c r="C1014" i="2"/>
  <c r="E1013" i="2"/>
  <c r="D1013" i="2"/>
  <c r="C1013" i="2"/>
  <c r="E1012" i="2"/>
  <c r="D1012" i="2"/>
  <c r="C1012" i="2"/>
  <c r="E1011" i="2"/>
  <c r="D1011" i="2"/>
  <c r="C1011" i="2"/>
  <c r="E1010" i="2"/>
  <c r="D1010" i="2"/>
  <c r="C1010" i="2"/>
  <c r="E1009" i="2"/>
  <c r="D1009" i="2"/>
  <c r="C1009" i="2"/>
  <c r="E1008" i="2"/>
  <c r="D1008" i="2"/>
  <c r="C1008" i="2"/>
  <c r="E1007" i="2"/>
  <c r="D1007" i="2"/>
  <c r="C1007" i="2"/>
  <c r="E1006" i="2"/>
  <c r="D1006" i="2"/>
  <c r="C1006" i="2"/>
  <c r="E1005" i="2"/>
  <c r="D1005" i="2"/>
  <c r="C1005" i="2"/>
  <c r="E1004" i="2"/>
  <c r="D1004" i="2"/>
  <c r="C1004" i="2"/>
  <c r="E1003" i="2"/>
  <c r="D1003" i="2"/>
  <c r="C1003" i="2"/>
  <c r="E1002" i="2"/>
  <c r="D1002" i="2"/>
  <c r="C1002" i="2"/>
  <c r="E1001" i="2"/>
  <c r="D1001" i="2"/>
  <c r="C1001" i="2"/>
  <c r="E1000" i="2"/>
  <c r="D1000" i="2"/>
  <c r="C1000" i="2"/>
  <c r="E999" i="2"/>
  <c r="D999" i="2"/>
  <c r="C999" i="2"/>
  <c r="E998" i="2"/>
  <c r="D998" i="2"/>
  <c r="C998" i="2"/>
  <c r="E997" i="2"/>
  <c r="D997" i="2"/>
  <c r="C997" i="2"/>
  <c r="E996" i="2"/>
  <c r="D996" i="2"/>
  <c r="C996" i="2"/>
  <c r="E995" i="2"/>
  <c r="D995" i="2"/>
  <c r="C995" i="2"/>
  <c r="E994" i="2"/>
  <c r="D994" i="2"/>
  <c r="C994" i="2"/>
  <c r="E993" i="2"/>
  <c r="D993" i="2"/>
  <c r="C993" i="2"/>
  <c r="E992" i="2"/>
  <c r="D992" i="2"/>
  <c r="C992" i="2"/>
  <c r="E991" i="2"/>
  <c r="D991" i="2"/>
  <c r="C991" i="2"/>
  <c r="E990" i="2"/>
  <c r="D990" i="2"/>
  <c r="C990" i="2"/>
  <c r="E989" i="2"/>
  <c r="D989" i="2"/>
  <c r="C989" i="2"/>
  <c r="E988" i="2"/>
  <c r="D988" i="2"/>
  <c r="C988" i="2"/>
  <c r="E987" i="2"/>
  <c r="D987" i="2"/>
  <c r="C987" i="2"/>
  <c r="E986" i="2"/>
  <c r="D986" i="2"/>
  <c r="C986" i="2"/>
  <c r="E985" i="2"/>
  <c r="D985" i="2"/>
  <c r="C985" i="2"/>
  <c r="E984" i="2"/>
  <c r="D984" i="2"/>
  <c r="C984" i="2"/>
  <c r="E983" i="2"/>
  <c r="D983" i="2"/>
  <c r="C983" i="2"/>
  <c r="E982" i="2"/>
  <c r="D982" i="2"/>
  <c r="C982" i="2"/>
  <c r="E981" i="2"/>
  <c r="D981" i="2"/>
  <c r="C981" i="2"/>
  <c r="E980" i="2"/>
  <c r="D980" i="2"/>
  <c r="C980" i="2"/>
  <c r="E979" i="2"/>
  <c r="D979" i="2"/>
  <c r="C979" i="2"/>
  <c r="E978" i="2"/>
  <c r="D978" i="2"/>
  <c r="C978" i="2"/>
  <c r="E977" i="2"/>
  <c r="D977" i="2"/>
  <c r="C977" i="2"/>
  <c r="E976" i="2"/>
  <c r="D976" i="2"/>
  <c r="C976" i="2"/>
  <c r="E975" i="2"/>
  <c r="D975" i="2"/>
  <c r="C975" i="2"/>
  <c r="E974" i="2"/>
  <c r="D974" i="2"/>
  <c r="C974" i="2"/>
  <c r="E973" i="2"/>
  <c r="D973" i="2"/>
  <c r="C973" i="2"/>
  <c r="E972" i="2"/>
  <c r="D972" i="2"/>
  <c r="C972" i="2"/>
  <c r="E971" i="2"/>
  <c r="D971" i="2"/>
  <c r="C971" i="2"/>
  <c r="E970" i="2"/>
  <c r="D970" i="2"/>
  <c r="C970" i="2"/>
  <c r="E969" i="2"/>
  <c r="D969" i="2"/>
  <c r="C969" i="2"/>
  <c r="E968" i="2"/>
  <c r="D968" i="2"/>
  <c r="C968" i="2"/>
  <c r="E967" i="2"/>
  <c r="D967" i="2"/>
  <c r="C967" i="2"/>
  <c r="E966" i="2"/>
  <c r="D966" i="2"/>
  <c r="C966" i="2"/>
  <c r="E965" i="2"/>
  <c r="D965" i="2"/>
  <c r="C965" i="2"/>
  <c r="E964" i="2"/>
  <c r="D964" i="2"/>
  <c r="C964" i="2"/>
  <c r="E963" i="2"/>
  <c r="D963" i="2"/>
  <c r="C963" i="2"/>
  <c r="E962" i="2"/>
  <c r="D962" i="2"/>
  <c r="C962" i="2"/>
  <c r="E961" i="2"/>
  <c r="D961" i="2"/>
  <c r="C961" i="2"/>
  <c r="E960" i="2"/>
  <c r="D960" i="2"/>
  <c r="C960" i="2"/>
  <c r="E959" i="2"/>
  <c r="D959" i="2"/>
  <c r="C959" i="2"/>
  <c r="E958" i="2"/>
  <c r="D958" i="2"/>
  <c r="C958" i="2"/>
  <c r="E957" i="2"/>
  <c r="D957" i="2"/>
  <c r="C957" i="2"/>
  <c r="E956" i="2"/>
  <c r="D956" i="2"/>
  <c r="C956" i="2"/>
  <c r="E955" i="2"/>
  <c r="D955" i="2"/>
  <c r="C955" i="2"/>
  <c r="E954" i="2"/>
  <c r="D954" i="2"/>
  <c r="C954" i="2"/>
  <c r="E953" i="2"/>
  <c r="D953" i="2"/>
  <c r="C953" i="2"/>
  <c r="E952" i="2"/>
  <c r="D952" i="2"/>
  <c r="C952" i="2"/>
  <c r="E951" i="2"/>
  <c r="D951" i="2"/>
  <c r="C951" i="2"/>
  <c r="E950" i="2"/>
  <c r="D950" i="2"/>
  <c r="C950" i="2"/>
  <c r="E949" i="2"/>
  <c r="D949" i="2"/>
  <c r="C949" i="2"/>
  <c r="E948" i="2"/>
  <c r="D948" i="2"/>
  <c r="C948" i="2"/>
  <c r="E947" i="2"/>
  <c r="D947" i="2"/>
  <c r="C947" i="2"/>
  <c r="E946" i="2"/>
  <c r="D946" i="2"/>
  <c r="C946" i="2"/>
  <c r="E945" i="2"/>
  <c r="D945" i="2"/>
  <c r="C945" i="2"/>
  <c r="E944" i="2"/>
  <c r="D944" i="2"/>
  <c r="C944" i="2"/>
  <c r="E943" i="2"/>
  <c r="D943" i="2"/>
  <c r="C943" i="2"/>
  <c r="E942" i="2"/>
  <c r="D942" i="2"/>
  <c r="C942" i="2"/>
  <c r="E941" i="2"/>
  <c r="D941" i="2"/>
  <c r="C941" i="2"/>
  <c r="E940" i="2"/>
  <c r="D940" i="2"/>
  <c r="C940" i="2"/>
  <c r="E939" i="2"/>
  <c r="D939" i="2"/>
  <c r="C939" i="2"/>
  <c r="E938" i="2"/>
  <c r="D938" i="2"/>
  <c r="C938" i="2"/>
  <c r="E937" i="2"/>
  <c r="D937" i="2"/>
  <c r="C937" i="2"/>
  <c r="E936" i="2"/>
  <c r="D936" i="2"/>
  <c r="C936" i="2"/>
  <c r="E935" i="2"/>
  <c r="D935" i="2"/>
  <c r="C935" i="2"/>
  <c r="E934" i="2"/>
  <c r="D934" i="2"/>
  <c r="C934" i="2"/>
  <c r="E933" i="2"/>
  <c r="D933" i="2"/>
  <c r="C933" i="2"/>
  <c r="E932" i="2"/>
  <c r="D932" i="2"/>
  <c r="C932" i="2"/>
  <c r="E931" i="2"/>
  <c r="D931" i="2"/>
  <c r="C931" i="2"/>
  <c r="E930" i="2"/>
  <c r="D930" i="2"/>
  <c r="C930" i="2"/>
  <c r="E929" i="2"/>
  <c r="D929" i="2"/>
  <c r="C929" i="2"/>
  <c r="E928" i="2"/>
  <c r="D928" i="2"/>
  <c r="C928" i="2"/>
  <c r="E927" i="2"/>
  <c r="D927" i="2"/>
  <c r="C927" i="2"/>
  <c r="E926" i="2"/>
  <c r="D926" i="2"/>
  <c r="C926" i="2"/>
  <c r="E925" i="2"/>
  <c r="D925" i="2"/>
  <c r="C925" i="2"/>
  <c r="E924" i="2"/>
  <c r="D924" i="2"/>
  <c r="C924" i="2"/>
  <c r="E923" i="2"/>
  <c r="D923" i="2"/>
  <c r="C923" i="2"/>
  <c r="E922" i="2"/>
  <c r="D922" i="2"/>
  <c r="C922" i="2"/>
  <c r="E921" i="2"/>
  <c r="D921" i="2"/>
  <c r="C921" i="2"/>
  <c r="E920" i="2"/>
  <c r="D920" i="2"/>
  <c r="C920" i="2"/>
  <c r="E919" i="2"/>
  <c r="D919" i="2"/>
  <c r="C919" i="2"/>
  <c r="E918" i="2"/>
  <c r="D918" i="2"/>
  <c r="C918" i="2"/>
  <c r="E917" i="2"/>
  <c r="D917" i="2"/>
  <c r="C917" i="2"/>
  <c r="E916" i="2"/>
  <c r="D916" i="2"/>
  <c r="C916" i="2"/>
  <c r="E915" i="2"/>
  <c r="D915" i="2"/>
  <c r="C915" i="2"/>
  <c r="E914" i="2"/>
  <c r="D914" i="2"/>
  <c r="C914" i="2"/>
  <c r="E913" i="2"/>
  <c r="D913" i="2"/>
  <c r="C913" i="2"/>
  <c r="E912" i="2"/>
  <c r="D912" i="2"/>
  <c r="C912" i="2"/>
  <c r="E911" i="2"/>
  <c r="D911" i="2"/>
  <c r="C911" i="2"/>
  <c r="E910" i="2"/>
  <c r="D910" i="2"/>
  <c r="C910" i="2"/>
  <c r="E909" i="2"/>
  <c r="D909" i="2"/>
  <c r="C909" i="2"/>
  <c r="E908" i="2"/>
  <c r="D908" i="2"/>
  <c r="C908" i="2"/>
  <c r="E907" i="2"/>
  <c r="D907" i="2"/>
  <c r="C907" i="2"/>
  <c r="E906" i="2"/>
  <c r="D906" i="2"/>
  <c r="C906" i="2"/>
  <c r="E905" i="2"/>
  <c r="D905" i="2"/>
  <c r="C905" i="2"/>
  <c r="E904" i="2"/>
  <c r="D904" i="2"/>
  <c r="C904" i="2"/>
  <c r="E903" i="2"/>
  <c r="D903" i="2"/>
  <c r="C903" i="2"/>
  <c r="E902" i="2"/>
  <c r="D902" i="2"/>
  <c r="C902" i="2"/>
  <c r="E901" i="2"/>
  <c r="D901" i="2"/>
  <c r="C901" i="2"/>
  <c r="E900" i="2"/>
  <c r="D900" i="2"/>
  <c r="C900" i="2"/>
  <c r="E899" i="2"/>
  <c r="D899" i="2"/>
  <c r="C899" i="2"/>
  <c r="E898" i="2"/>
  <c r="D898" i="2"/>
  <c r="C898" i="2"/>
  <c r="E897" i="2"/>
  <c r="D897" i="2"/>
  <c r="C897" i="2"/>
  <c r="E896" i="2"/>
  <c r="D896" i="2"/>
  <c r="C896" i="2"/>
  <c r="E895" i="2"/>
  <c r="D895" i="2"/>
  <c r="C895" i="2"/>
  <c r="E894" i="2"/>
  <c r="D894" i="2"/>
  <c r="C894" i="2"/>
  <c r="E893" i="2"/>
  <c r="D893" i="2"/>
  <c r="C893" i="2"/>
  <c r="E892" i="2"/>
  <c r="D892" i="2"/>
  <c r="C892" i="2"/>
  <c r="E891" i="2"/>
  <c r="D891" i="2"/>
  <c r="C891" i="2"/>
  <c r="E890" i="2"/>
  <c r="D890" i="2"/>
  <c r="C890" i="2"/>
  <c r="E889" i="2"/>
  <c r="D889" i="2"/>
  <c r="C889" i="2"/>
  <c r="E888" i="2"/>
  <c r="D888" i="2"/>
  <c r="C888" i="2"/>
  <c r="E887" i="2"/>
  <c r="D887" i="2"/>
  <c r="C887" i="2"/>
  <c r="E886" i="2"/>
  <c r="D886" i="2"/>
  <c r="C886" i="2"/>
  <c r="E885" i="2"/>
  <c r="D885" i="2"/>
  <c r="C885" i="2"/>
  <c r="E884" i="2"/>
  <c r="D884" i="2"/>
  <c r="C884" i="2"/>
  <c r="E883" i="2"/>
  <c r="D883" i="2"/>
  <c r="C883" i="2"/>
  <c r="E882" i="2"/>
  <c r="D882" i="2"/>
  <c r="C882" i="2"/>
  <c r="E881" i="2"/>
  <c r="D881" i="2"/>
  <c r="C881" i="2"/>
  <c r="E880" i="2"/>
  <c r="D880" i="2"/>
  <c r="C880" i="2"/>
  <c r="E879" i="2"/>
  <c r="D879" i="2"/>
  <c r="C879" i="2"/>
  <c r="E878" i="2"/>
  <c r="D878" i="2"/>
  <c r="C878" i="2"/>
  <c r="E877" i="2"/>
  <c r="D877" i="2"/>
  <c r="C877" i="2"/>
  <c r="E876" i="2"/>
  <c r="D876" i="2"/>
  <c r="C876" i="2"/>
  <c r="E875" i="2"/>
  <c r="D875" i="2"/>
  <c r="C875" i="2"/>
  <c r="E874" i="2"/>
  <c r="D874" i="2"/>
  <c r="C874" i="2"/>
  <c r="E873" i="2"/>
  <c r="D873" i="2"/>
  <c r="C873" i="2"/>
  <c r="E872" i="2"/>
  <c r="D872" i="2"/>
  <c r="C872" i="2"/>
  <c r="E871" i="2"/>
  <c r="D871" i="2"/>
  <c r="C871" i="2"/>
  <c r="E870" i="2"/>
  <c r="D870" i="2"/>
  <c r="C870" i="2"/>
  <c r="E869" i="2"/>
  <c r="D869" i="2"/>
  <c r="C869" i="2"/>
  <c r="E868" i="2"/>
  <c r="D868" i="2"/>
  <c r="C868" i="2"/>
  <c r="E867" i="2"/>
  <c r="D867" i="2"/>
  <c r="C867" i="2"/>
  <c r="E866" i="2"/>
  <c r="D866" i="2"/>
  <c r="C866" i="2"/>
  <c r="E865" i="2"/>
  <c r="D865" i="2"/>
  <c r="C865" i="2"/>
  <c r="E864" i="2"/>
  <c r="D864" i="2"/>
  <c r="C864" i="2"/>
  <c r="E863" i="2"/>
  <c r="D863" i="2"/>
  <c r="C863" i="2"/>
  <c r="E862" i="2"/>
  <c r="D862" i="2"/>
  <c r="C862" i="2"/>
  <c r="E861" i="2"/>
  <c r="D861" i="2"/>
  <c r="C861" i="2"/>
  <c r="E860" i="2"/>
  <c r="D860" i="2"/>
  <c r="C860" i="2"/>
  <c r="E859" i="2"/>
  <c r="D859" i="2"/>
  <c r="C859" i="2"/>
  <c r="E858" i="2"/>
  <c r="D858" i="2"/>
  <c r="C858" i="2"/>
  <c r="E857" i="2"/>
  <c r="D857" i="2"/>
  <c r="C857" i="2"/>
  <c r="E856" i="2"/>
  <c r="D856" i="2"/>
  <c r="C856" i="2"/>
  <c r="E855" i="2"/>
  <c r="D855" i="2"/>
  <c r="C855" i="2"/>
  <c r="E854" i="2"/>
  <c r="D854" i="2"/>
  <c r="C854" i="2"/>
  <c r="E853" i="2"/>
  <c r="D853" i="2"/>
  <c r="C853" i="2"/>
  <c r="E852" i="2"/>
  <c r="D852" i="2"/>
  <c r="C852" i="2"/>
  <c r="E851" i="2"/>
  <c r="D851" i="2"/>
  <c r="C851" i="2"/>
  <c r="E850" i="2"/>
  <c r="D850" i="2"/>
  <c r="C850" i="2"/>
  <c r="E849" i="2"/>
  <c r="D849" i="2"/>
  <c r="C849" i="2"/>
  <c r="E848" i="2"/>
  <c r="D848" i="2"/>
  <c r="C848" i="2"/>
  <c r="E847" i="2"/>
  <c r="D847" i="2"/>
  <c r="C847" i="2"/>
  <c r="E846" i="2"/>
  <c r="D846" i="2"/>
  <c r="C846" i="2"/>
  <c r="E845" i="2"/>
  <c r="D845" i="2"/>
  <c r="C845" i="2"/>
  <c r="E844" i="2"/>
  <c r="D844" i="2"/>
  <c r="C844" i="2"/>
  <c r="E843" i="2"/>
  <c r="D843" i="2"/>
  <c r="C843" i="2"/>
  <c r="E842" i="2"/>
  <c r="D842" i="2"/>
  <c r="C842" i="2"/>
  <c r="E841" i="2"/>
  <c r="D841" i="2"/>
  <c r="C841" i="2"/>
  <c r="E840" i="2"/>
  <c r="D840" i="2"/>
  <c r="C840" i="2"/>
  <c r="E839" i="2"/>
  <c r="D839" i="2"/>
  <c r="C839" i="2"/>
  <c r="E838" i="2"/>
  <c r="D838" i="2"/>
  <c r="C838" i="2"/>
  <c r="E837" i="2"/>
  <c r="D837" i="2"/>
  <c r="C837" i="2"/>
  <c r="E836" i="2"/>
  <c r="D836" i="2"/>
  <c r="C836" i="2"/>
  <c r="E835" i="2"/>
  <c r="D835" i="2"/>
  <c r="C835" i="2"/>
  <c r="E834" i="2"/>
  <c r="D834" i="2"/>
  <c r="C834" i="2"/>
  <c r="E833" i="2"/>
  <c r="D833" i="2"/>
  <c r="C833" i="2"/>
  <c r="E832" i="2"/>
  <c r="D832" i="2"/>
  <c r="C832" i="2"/>
  <c r="E831" i="2"/>
  <c r="D831" i="2"/>
  <c r="C831" i="2"/>
  <c r="E830" i="2"/>
  <c r="D830" i="2"/>
  <c r="C830" i="2"/>
  <c r="E829" i="2"/>
  <c r="D829" i="2"/>
  <c r="C829" i="2"/>
  <c r="E828" i="2"/>
  <c r="D828" i="2"/>
  <c r="C828" i="2"/>
  <c r="E827" i="2"/>
  <c r="D827" i="2"/>
  <c r="C827" i="2"/>
  <c r="E826" i="2"/>
  <c r="D826" i="2"/>
  <c r="C826" i="2"/>
  <c r="E825" i="2"/>
  <c r="D825" i="2"/>
  <c r="C825" i="2"/>
  <c r="E824" i="2"/>
  <c r="D824" i="2"/>
  <c r="C824" i="2"/>
  <c r="E823" i="2"/>
  <c r="D823" i="2"/>
  <c r="C823" i="2"/>
  <c r="E822" i="2"/>
  <c r="D822" i="2"/>
  <c r="C822" i="2"/>
  <c r="E821" i="2"/>
  <c r="D821" i="2"/>
  <c r="C821" i="2"/>
  <c r="E820" i="2"/>
  <c r="D820" i="2"/>
  <c r="C820" i="2"/>
  <c r="E819" i="2"/>
  <c r="D819" i="2"/>
  <c r="C819" i="2"/>
  <c r="E818" i="2"/>
  <c r="D818" i="2"/>
  <c r="C818" i="2"/>
  <c r="E817" i="2"/>
  <c r="D817" i="2"/>
  <c r="C817" i="2"/>
  <c r="E816" i="2"/>
  <c r="D816" i="2"/>
  <c r="C816" i="2"/>
  <c r="E815" i="2"/>
  <c r="D815" i="2"/>
  <c r="C815" i="2"/>
  <c r="E814" i="2"/>
  <c r="D814" i="2"/>
  <c r="C814" i="2"/>
  <c r="E813" i="2"/>
  <c r="D813" i="2"/>
  <c r="C813" i="2"/>
  <c r="E812" i="2"/>
  <c r="D812" i="2"/>
  <c r="C812" i="2"/>
  <c r="E811" i="2"/>
  <c r="D811" i="2"/>
  <c r="C811" i="2"/>
  <c r="E810" i="2"/>
  <c r="D810" i="2"/>
  <c r="C810" i="2"/>
  <c r="E809" i="2"/>
  <c r="D809" i="2"/>
  <c r="C809" i="2"/>
  <c r="E808" i="2"/>
  <c r="D808" i="2"/>
  <c r="C808" i="2"/>
  <c r="E807" i="2"/>
  <c r="D807" i="2"/>
  <c r="C807" i="2"/>
  <c r="E806" i="2"/>
  <c r="D806" i="2"/>
  <c r="C806" i="2"/>
  <c r="E805" i="2"/>
  <c r="D805" i="2"/>
  <c r="C805" i="2"/>
  <c r="E804" i="2"/>
  <c r="D804" i="2"/>
  <c r="C804" i="2"/>
  <c r="E803" i="2"/>
  <c r="D803" i="2"/>
  <c r="C803" i="2"/>
  <c r="E802" i="2"/>
  <c r="D802" i="2"/>
  <c r="C802" i="2"/>
  <c r="E801" i="2"/>
  <c r="D801" i="2"/>
  <c r="C801" i="2"/>
  <c r="E800" i="2"/>
  <c r="D800" i="2"/>
  <c r="C800" i="2"/>
  <c r="E799" i="2"/>
  <c r="D799" i="2"/>
  <c r="C799" i="2"/>
  <c r="E798" i="2"/>
  <c r="D798" i="2"/>
  <c r="C798" i="2"/>
  <c r="E797" i="2"/>
  <c r="D797" i="2"/>
  <c r="C797" i="2"/>
  <c r="E796" i="2"/>
  <c r="D796" i="2"/>
  <c r="C796" i="2"/>
  <c r="E795" i="2"/>
  <c r="D795" i="2"/>
  <c r="C795" i="2"/>
  <c r="E794" i="2"/>
  <c r="D794" i="2"/>
  <c r="C794" i="2"/>
  <c r="E793" i="2"/>
  <c r="D793" i="2"/>
  <c r="C793" i="2"/>
  <c r="E792" i="2"/>
  <c r="D792" i="2"/>
  <c r="C792" i="2"/>
  <c r="E791" i="2"/>
  <c r="D791" i="2"/>
  <c r="C791" i="2"/>
  <c r="E790" i="2"/>
  <c r="D790" i="2"/>
  <c r="C790" i="2"/>
  <c r="E789" i="2"/>
  <c r="D789" i="2"/>
  <c r="C789" i="2"/>
  <c r="E788" i="2"/>
  <c r="D788" i="2"/>
  <c r="C788" i="2"/>
  <c r="E787" i="2"/>
  <c r="D787" i="2"/>
  <c r="C787" i="2"/>
  <c r="E786" i="2"/>
  <c r="D786" i="2"/>
  <c r="C786" i="2"/>
  <c r="E785" i="2"/>
  <c r="D785" i="2"/>
  <c r="C785" i="2"/>
  <c r="E784" i="2"/>
  <c r="D784" i="2"/>
  <c r="C784" i="2"/>
  <c r="E783" i="2"/>
  <c r="D783" i="2"/>
  <c r="C783" i="2"/>
  <c r="E782" i="2"/>
  <c r="D782" i="2"/>
  <c r="C782" i="2"/>
  <c r="E781" i="2"/>
  <c r="D781" i="2"/>
  <c r="C781" i="2"/>
  <c r="E780" i="2"/>
  <c r="D780" i="2"/>
  <c r="C780" i="2"/>
  <c r="E779" i="2"/>
  <c r="D779" i="2"/>
  <c r="C779" i="2"/>
  <c r="E778" i="2"/>
  <c r="D778" i="2"/>
  <c r="C778" i="2"/>
  <c r="E777" i="2"/>
  <c r="D777" i="2"/>
  <c r="C777" i="2"/>
  <c r="E776" i="2"/>
  <c r="D776" i="2"/>
  <c r="C776" i="2"/>
  <c r="E775" i="2"/>
  <c r="D775" i="2"/>
  <c r="C775" i="2"/>
  <c r="E774" i="2"/>
  <c r="D774" i="2"/>
  <c r="C774" i="2"/>
  <c r="E773" i="2"/>
  <c r="D773" i="2"/>
  <c r="C773" i="2"/>
  <c r="E772" i="2"/>
  <c r="D772" i="2"/>
  <c r="C772" i="2"/>
  <c r="E771" i="2"/>
  <c r="D771" i="2"/>
  <c r="C771" i="2"/>
  <c r="E770" i="2"/>
  <c r="D770" i="2"/>
  <c r="C770" i="2"/>
  <c r="E769" i="2"/>
  <c r="D769" i="2"/>
  <c r="C769" i="2"/>
  <c r="E768" i="2"/>
  <c r="D768" i="2"/>
  <c r="C768" i="2"/>
  <c r="E767" i="2"/>
  <c r="D767" i="2"/>
  <c r="C767" i="2"/>
  <c r="E766" i="2"/>
  <c r="D766" i="2"/>
  <c r="C766" i="2"/>
  <c r="E765" i="2"/>
  <c r="D765" i="2"/>
  <c r="C765" i="2"/>
  <c r="E764" i="2"/>
  <c r="D764" i="2"/>
  <c r="C764" i="2"/>
  <c r="E763" i="2"/>
  <c r="D763" i="2"/>
  <c r="C763" i="2"/>
  <c r="E762" i="2"/>
  <c r="D762" i="2"/>
  <c r="C762" i="2"/>
  <c r="E761" i="2"/>
  <c r="D761" i="2"/>
  <c r="C761" i="2"/>
  <c r="E760" i="2"/>
  <c r="D760" i="2"/>
  <c r="C760" i="2"/>
  <c r="E759" i="2"/>
  <c r="D759" i="2"/>
  <c r="C759" i="2"/>
  <c r="E758" i="2"/>
  <c r="D758" i="2"/>
  <c r="C758" i="2"/>
  <c r="E757" i="2"/>
  <c r="D757" i="2"/>
  <c r="C757" i="2"/>
  <c r="E756" i="2"/>
  <c r="D756" i="2"/>
  <c r="C756" i="2"/>
  <c r="E755" i="2"/>
  <c r="D755" i="2"/>
  <c r="C755" i="2"/>
  <c r="E754" i="2"/>
  <c r="D754" i="2"/>
  <c r="C754" i="2"/>
  <c r="E753" i="2"/>
  <c r="D753" i="2"/>
  <c r="C753" i="2"/>
  <c r="E752" i="2"/>
  <c r="D752" i="2"/>
  <c r="C752" i="2"/>
  <c r="E751" i="2"/>
  <c r="D751" i="2"/>
  <c r="C751" i="2"/>
  <c r="E750" i="2"/>
  <c r="D750" i="2"/>
  <c r="C750" i="2"/>
  <c r="E749" i="2"/>
  <c r="D749" i="2"/>
  <c r="C749" i="2"/>
  <c r="E748" i="2"/>
  <c r="D748" i="2"/>
  <c r="C748" i="2"/>
  <c r="E747" i="2"/>
  <c r="D747" i="2"/>
  <c r="C747" i="2"/>
  <c r="E746" i="2"/>
  <c r="D746" i="2"/>
  <c r="C746" i="2"/>
  <c r="E745" i="2"/>
  <c r="D745" i="2"/>
  <c r="C745" i="2"/>
  <c r="E744" i="2"/>
  <c r="D744" i="2"/>
  <c r="C744" i="2"/>
  <c r="E743" i="2"/>
  <c r="D743" i="2"/>
  <c r="C743" i="2"/>
  <c r="E742" i="2"/>
  <c r="D742" i="2"/>
  <c r="C742" i="2"/>
  <c r="E741" i="2"/>
  <c r="D741" i="2"/>
  <c r="C741" i="2"/>
  <c r="E740" i="2"/>
  <c r="D740" i="2"/>
  <c r="C740" i="2"/>
  <c r="E739" i="2"/>
  <c r="D739" i="2"/>
  <c r="C739" i="2"/>
  <c r="E738" i="2"/>
  <c r="D738" i="2"/>
  <c r="C738" i="2"/>
  <c r="E737" i="2"/>
  <c r="D737" i="2"/>
  <c r="C737" i="2"/>
  <c r="E736" i="2"/>
  <c r="D736" i="2"/>
  <c r="C736" i="2"/>
  <c r="E735" i="2"/>
  <c r="D735" i="2"/>
  <c r="C735" i="2"/>
  <c r="E734" i="2"/>
  <c r="D734" i="2"/>
  <c r="C734" i="2"/>
  <c r="E733" i="2"/>
  <c r="D733" i="2"/>
  <c r="C733" i="2"/>
  <c r="E732" i="2"/>
  <c r="D732" i="2"/>
  <c r="C732" i="2"/>
  <c r="E731" i="2"/>
  <c r="D731" i="2"/>
  <c r="C731" i="2"/>
  <c r="E730" i="2"/>
  <c r="D730" i="2"/>
  <c r="C730" i="2"/>
  <c r="E729" i="2"/>
  <c r="D729" i="2"/>
  <c r="C729" i="2"/>
  <c r="E728" i="2"/>
  <c r="D728" i="2"/>
  <c r="C728" i="2"/>
  <c r="E727" i="2"/>
  <c r="D727" i="2"/>
  <c r="C727" i="2"/>
  <c r="E726" i="2"/>
  <c r="D726" i="2"/>
  <c r="C726" i="2"/>
  <c r="E725" i="2"/>
  <c r="D725" i="2"/>
  <c r="C725" i="2"/>
  <c r="E724" i="2"/>
  <c r="D724" i="2"/>
  <c r="C724" i="2"/>
  <c r="E723" i="2"/>
  <c r="D723" i="2"/>
  <c r="C723" i="2"/>
  <c r="E722" i="2"/>
  <c r="D722" i="2"/>
  <c r="C722" i="2"/>
  <c r="E721" i="2"/>
  <c r="D721" i="2"/>
  <c r="C721" i="2"/>
  <c r="E720" i="2"/>
  <c r="D720" i="2"/>
  <c r="C720" i="2"/>
  <c r="E719" i="2"/>
  <c r="D719" i="2"/>
  <c r="C719" i="2"/>
  <c r="E718" i="2"/>
  <c r="D718" i="2"/>
  <c r="C718" i="2"/>
  <c r="E717" i="2"/>
  <c r="D717" i="2"/>
  <c r="C717" i="2"/>
  <c r="E716" i="2"/>
  <c r="D716" i="2"/>
  <c r="C716" i="2"/>
  <c r="E715" i="2"/>
  <c r="D715" i="2"/>
  <c r="C715" i="2"/>
  <c r="E714" i="2"/>
  <c r="D714" i="2"/>
  <c r="C714" i="2"/>
  <c r="E713" i="2"/>
  <c r="D713" i="2"/>
  <c r="C713" i="2"/>
  <c r="E712" i="2"/>
  <c r="D712" i="2"/>
  <c r="C712" i="2"/>
  <c r="E711" i="2"/>
  <c r="D711" i="2"/>
  <c r="C711" i="2"/>
  <c r="E710" i="2"/>
  <c r="D710" i="2"/>
  <c r="C710" i="2"/>
  <c r="E709" i="2"/>
  <c r="D709" i="2"/>
  <c r="C709" i="2"/>
  <c r="E708" i="2"/>
  <c r="D708" i="2"/>
  <c r="C708" i="2"/>
  <c r="E707" i="2"/>
  <c r="D707" i="2"/>
  <c r="C707" i="2"/>
  <c r="E706" i="2"/>
  <c r="D706" i="2"/>
  <c r="C706" i="2"/>
  <c r="E705" i="2"/>
  <c r="D705" i="2"/>
  <c r="C705" i="2"/>
  <c r="E704" i="2"/>
  <c r="D704" i="2"/>
  <c r="C704" i="2"/>
  <c r="E703" i="2"/>
  <c r="D703" i="2"/>
  <c r="C703" i="2"/>
  <c r="E702" i="2"/>
  <c r="D702" i="2"/>
  <c r="C702" i="2"/>
  <c r="E701" i="2"/>
  <c r="D701" i="2"/>
  <c r="C701" i="2"/>
  <c r="E700" i="2"/>
  <c r="D700" i="2"/>
  <c r="C700" i="2"/>
  <c r="E699" i="2"/>
  <c r="D699" i="2"/>
  <c r="C699" i="2"/>
  <c r="E698" i="2"/>
  <c r="D698" i="2"/>
  <c r="C698" i="2"/>
  <c r="E697" i="2"/>
  <c r="D697" i="2"/>
  <c r="C697" i="2"/>
  <c r="E696" i="2"/>
  <c r="D696" i="2"/>
  <c r="C696" i="2"/>
  <c r="E695" i="2"/>
  <c r="D695" i="2"/>
  <c r="C695" i="2"/>
  <c r="E694" i="2"/>
  <c r="D694" i="2"/>
  <c r="C694" i="2"/>
  <c r="E693" i="2"/>
  <c r="D693" i="2"/>
  <c r="C693" i="2"/>
  <c r="E692" i="2"/>
  <c r="D692" i="2"/>
  <c r="C692" i="2"/>
  <c r="E691" i="2"/>
  <c r="D691" i="2"/>
  <c r="C691" i="2"/>
  <c r="E690" i="2"/>
  <c r="D690" i="2"/>
  <c r="C690" i="2"/>
  <c r="E689" i="2"/>
  <c r="D689" i="2"/>
  <c r="C689" i="2"/>
  <c r="E688" i="2"/>
  <c r="D688" i="2"/>
  <c r="C688" i="2"/>
  <c r="E687" i="2"/>
  <c r="D687" i="2"/>
  <c r="C687" i="2"/>
  <c r="E686" i="2"/>
  <c r="D686" i="2"/>
  <c r="C686" i="2"/>
  <c r="E685" i="2"/>
  <c r="D685" i="2"/>
  <c r="C685" i="2"/>
  <c r="E684" i="2"/>
  <c r="D684" i="2"/>
  <c r="C684" i="2"/>
  <c r="E683" i="2"/>
  <c r="D683" i="2"/>
  <c r="C683" i="2"/>
  <c r="E682" i="2"/>
  <c r="D682" i="2"/>
  <c r="C682" i="2"/>
  <c r="E681" i="2"/>
  <c r="D681" i="2"/>
  <c r="C681" i="2"/>
  <c r="E680" i="2"/>
  <c r="D680" i="2"/>
  <c r="C680" i="2"/>
  <c r="E679" i="2"/>
  <c r="D679" i="2"/>
  <c r="C679" i="2"/>
  <c r="E678" i="2"/>
  <c r="D678" i="2"/>
  <c r="C678" i="2"/>
  <c r="E677" i="2"/>
  <c r="D677" i="2"/>
  <c r="C677" i="2"/>
  <c r="E676" i="2"/>
  <c r="D676" i="2"/>
  <c r="C676" i="2"/>
  <c r="E675" i="2"/>
  <c r="D675" i="2"/>
  <c r="C675" i="2"/>
  <c r="E674" i="2"/>
  <c r="D674" i="2"/>
  <c r="C674" i="2"/>
  <c r="E673" i="2"/>
  <c r="D673" i="2"/>
  <c r="C673" i="2"/>
  <c r="E672" i="2"/>
  <c r="D672" i="2"/>
  <c r="C672" i="2"/>
  <c r="E671" i="2"/>
  <c r="D671" i="2"/>
  <c r="C671" i="2"/>
  <c r="E670" i="2"/>
  <c r="D670" i="2"/>
  <c r="C670" i="2"/>
  <c r="E669" i="2"/>
  <c r="D669" i="2"/>
  <c r="C669" i="2"/>
  <c r="E668" i="2"/>
  <c r="D668" i="2"/>
  <c r="C668" i="2"/>
  <c r="E667" i="2"/>
  <c r="D667" i="2"/>
  <c r="C667" i="2"/>
  <c r="E666" i="2"/>
  <c r="D666" i="2"/>
  <c r="C666" i="2"/>
  <c r="E665" i="2"/>
  <c r="D665" i="2"/>
  <c r="C665" i="2"/>
  <c r="E664" i="2"/>
  <c r="D664" i="2"/>
  <c r="C664" i="2"/>
  <c r="E663" i="2"/>
  <c r="D663" i="2"/>
  <c r="C663" i="2"/>
  <c r="E662" i="2"/>
  <c r="D662" i="2"/>
  <c r="C662" i="2"/>
  <c r="E661" i="2"/>
  <c r="D661" i="2"/>
  <c r="C661" i="2"/>
  <c r="E660" i="2"/>
  <c r="D660" i="2"/>
  <c r="C660" i="2"/>
  <c r="E659" i="2"/>
  <c r="D659" i="2"/>
  <c r="C659" i="2"/>
  <c r="E658" i="2"/>
  <c r="D658" i="2"/>
  <c r="C658" i="2"/>
  <c r="E657" i="2"/>
  <c r="D657" i="2"/>
  <c r="C657" i="2"/>
  <c r="E656" i="2"/>
  <c r="D656" i="2"/>
  <c r="C656" i="2"/>
  <c r="E655" i="2"/>
  <c r="D655" i="2"/>
  <c r="C655" i="2"/>
  <c r="E654" i="2"/>
  <c r="D654" i="2"/>
  <c r="C654" i="2"/>
  <c r="E653" i="2"/>
  <c r="D653" i="2"/>
  <c r="C653" i="2"/>
  <c r="E652" i="2"/>
  <c r="D652" i="2"/>
  <c r="C652" i="2"/>
  <c r="E651" i="2"/>
  <c r="D651" i="2"/>
  <c r="C651" i="2"/>
  <c r="E650" i="2"/>
  <c r="D650" i="2"/>
  <c r="C650" i="2"/>
  <c r="E649" i="2"/>
  <c r="D649" i="2"/>
  <c r="C649" i="2"/>
  <c r="E648" i="2"/>
  <c r="D648" i="2"/>
  <c r="C648" i="2"/>
  <c r="E647" i="2"/>
  <c r="D647" i="2"/>
  <c r="C647" i="2"/>
  <c r="E646" i="2"/>
  <c r="D646" i="2"/>
  <c r="C646" i="2"/>
  <c r="E645" i="2"/>
  <c r="D645" i="2"/>
  <c r="C645" i="2"/>
  <c r="E644" i="2"/>
  <c r="D644" i="2"/>
  <c r="C644" i="2"/>
  <c r="E643" i="2"/>
  <c r="D643" i="2"/>
  <c r="C643" i="2"/>
  <c r="E642" i="2"/>
  <c r="D642" i="2"/>
  <c r="C642" i="2"/>
  <c r="E641" i="2"/>
  <c r="D641" i="2"/>
  <c r="C641" i="2"/>
  <c r="E640" i="2"/>
  <c r="D640" i="2"/>
  <c r="C640" i="2"/>
  <c r="E639" i="2"/>
  <c r="D639" i="2"/>
  <c r="C639" i="2"/>
  <c r="E638" i="2"/>
  <c r="D638" i="2"/>
  <c r="C638" i="2"/>
  <c r="E637" i="2"/>
  <c r="D637" i="2"/>
  <c r="C637" i="2"/>
  <c r="E636" i="2"/>
  <c r="D636" i="2"/>
  <c r="C636" i="2"/>
  <c r="E635" i="2"/>
  <c r="D635" i="2"/>
  <c r="C635" i="2"/>
  <c r="E634" i="2"/>
  <c r="D634" i="2"/>
  <c r="C634" i="2"/>
  <c r="E633" i="2"/>
  <c r="D633" i="2"/>
  <c r="C633" i="2"/>
  <c r="E632" i="2"/>
  <c r="D632" i="2"/>
  <c r="C632" i="2"/>
  <c r="E631" i="2"/>
  <c r="D631" i="2"/>
  <c r="C631" i="2"/>
  <c r="E630" i="2"/>
  <c r="D630" i="2"/>
  <c r="C630" i="2"/>
  <c r="E629" i="2"/>
  <c r="D629" i="2"/>
  <c r="C629" i="2"/>
  <c r="E628" i="2"/>
  <c r="D628" i="2"/>
  <c r="C628" i="2"/>
  <c r="E627" i="2"/>
  <c r="D627" i="2"/>
  <c r="C627" i="2"/>
  <c r="E626" i="2"/>
  <c r="D626" i="2"/>
  <c r="C626" i="2"/>
  <c r="E625" i="2"/>
  <c r="D625" i="2"/>
  <c r="C625" i="2"/>
  <c r="E624" i="2"/>
  <c r="D624" i="2"/>
  <c r="C624" i="2"/>
  <c r="E623" i="2"/>
  <c r="D623" i="2"/>
  <c r="C623" i="2"/>
  <c r="E622" i="2"/>
  <c r="D622" i="2"/>
  <c r="C622" i="2"/>
  <c r="E621" i="2"/>
  <c r="D621" i="2"/>
  <c r="C621" i="2"/>
  <c r="E620" i="2"/>
  <c r="D620" i="2"/>
  <c r="C620" i="2"/>
  <c r="E619" i="2"/>
  <c r="D619" i="2"/>
  <c r="C619" i="2"/>
  <c r="E618" i="2"/>
  <c r="D618" i="2"/>
  <c r="C618" i="2"/>
  <c r="E617" i="2"/>
  <c r="D617" i="2"/>
  <c r="C617" i="2"/>
  <c r="E616" i="2"/>
  <c r="D616" i="2"/>
  <c r="C616" i="2"/>
  <c r="E615" i="2"/>
  <c r="D615" i="2"/>
  <c r="C615" i="2"/>
  <c r="E614" i="2"/>
  <c r="D614" i="2"/>
  <c r="C614" i="2"/>
  <c r="E613" i="2"/>
  <c r="D613" i="2"/>
  <c r="C613" i="2"/>
  <c r="E612" i="2"/>
  <c r="D612" i="2"/>
  <c r="C612" i="2"/>
  <c r="E611" i="2"/>
  <c r="D611" i="2"/>
  <c r="C611" i="2"/>
  <c r="E610" i="2"/>
  <c r="D610" i="2"/>
  <c r="C610" i="2"/>
  <c r="E609" i="2"/>
  <c r="D609" i="2"/>
  <c r="C609" i="2"/>
  <c r="E608" i="2"/>
  <c r="D608" i="2"/>
  <c r="C608" i="2"/>
  <c r="E607" i="2"/>
  <c r="D607" i="2"/>
  <c r="C607" i="2"/>
  <c r="E606" i="2"/>
  <c r="D606" i="2"/>
  <c r="C606" i="2"/>
  <c r="E605" i="2"/>
  <c r="D605" i="2"/>
  <c r="C605" i="2"/>
  <c r="E604" i="2"/>
  <c r="D604" i="2"/>
  <c r="C604" i="2"/>
  <c r="E603" i="2"/>
  <c r="D603" i="2"/>
  <c r="C603" i="2"/>
  <c r="E602" i="2"/>
  <c r="D602" i="2"/>
  <c r="C602" i="2"/>
  <c r="E601" i="2"/>
  <c r="D601" i="2"/>
  <c r="C601" i="2"/>
  <c r="E600" i="2"/>
  <c r="D600" i="2"/>
  <c r="C600" i="2"/>
  <c r="E599" i="2"/>
  <c r="D599" i="2"/>
  <c r="C599" i="2"/>
  <c r="E598" i="2"/>
  <c r="D598" i="2"/>
  <c r="C598" i="2"/>
  <c r="E597" i="2"/>
  <c r="D597" i="2"/>
  <c r="C597" i="2"/>
  <c r="E596" i="2"/>
  <c r="D596" i="2"/>
  <c r="C596" i="2"/>
  <c r="E595" i="2"/>
  <c r="D595" i="2"/>
  <c r="C595" i="2"/>
  <c r="E594" i="2"/>
  <c r="D594" i="2"/>
  <c r="C594" i="2"/>
  <c r="E593" i="2"/>
  <c r="D593" i="2"/>
  <c r="C593" i="2"/>
  <c r="E592" i="2"/>
  <c r="D592" i="2"/>
  <c r="C592" i="2"/>
  <c r="E591" i="2"/>
  <c r="D591" i="2"/>
  <c r="C591" i="2"/>
  <c r="E590" i="2"/>
  <c r="D590" i="2"/>
  <c r="C590" i="2"/>
  <c r="E589" i="2"/>
  <c r="D589" i="2"/>
  <c r="C589" i="2"/>
  <c r="E588" i="2"/>
  <c r="D588" i="2"/>
  <c r="C588" i="2"/>
  <c r="E587" i="2"/>
  <c r="D587" i="2"/>
  <c r="C587" i="2"/>
  <c r="E586" i="2"/>
  <c r="D586" i="2"/>
  <c r="C586" i="2"/>
  <c r="E585" i="2"/>
  <c r="D585" i="2"/>
  <c r="C585" i="2"/>
  <c r="E584" i="2"/>
  <c r="D584" i="2"/>
  <c r="C584" i="2"/>
  <c r="E583" i="2"/>
  <c r="D583" i="2"/>
  <c r="C583" i="2"/>
  <c r="E582" i="2"/>
  <c r="D582" i="2"/>
  <c r="C582" i="2"/>
  <c r="E581" i="2"/>
  <c r="D581" i="2"/>
  <c r="C581" i="2"/>
  <c r="E580" i="2"/>
  <c r="D580" i="2"/>
  <c r="C580" i="2"/>
  <c r="E579" i="2"/>
  <c r="D579" i="2"/>
  <c r="C579" i="2"/>
  <c r="E578" i="2"/>
  <c r="D578" i="2"/>
  <c r="C578" i="2"/>
  <c r="E577" i="2"/>
  <c r="D577" i="2"/>
  <c r="C577" i="2"/>
  <c r="E576" i="2"/>
  <c r="D576" i="2"/>
  <c r="C576" i="2"/>
  <c r="E575" i="2"/>
  <c r="D575" i="2"/>
  <c r="C575" i="2"/>
  <c r="E574" i="2"/>
  <c r="D574" i="2"/>
  <c r="C574" i="2"/>
  <c r="E573" i="2"/>
  <c r="D573" i="2"/>
  <c r="C573" i="2"/>
  <c r="E572" i="2"/>
  <c r="D572" i="2"/>
  <c r="C572" i="2"/>
  <c r="E571" i="2"/>
  <c r="D571" i="2"/>
  <c r="C571" i="2"/>
  <c r="E570" i="2"/>
  <c r="D570" i="2"/>
  <c r="C570" i="2"/>
  <c r="E569" i="2"/>
  <c r="D569" i="2"/>
  <c r="C569" i="2"/>
  <c r="E568" i="2"/>
  <c r="D568" i="2"/>
  <c r="C568" i="2"/>
  <c r="E567" i="2"/>
  <c r="D567" i="2"/>
  <c r="C567" i="2"/>
  <c r="E566" i="2"/>
  <c r="D566" i="2"/>
  <c r="C566" i="2"/>
  <c r="E565" i="2"/>
  <c r="D565" i="2"/>
  <c r="C565" i="2"/>
  <c r="E564" i="2"/>
  <c r="D564" i="2"/>
  <c r="C564" i="2"/>
  <c r="E563" i="2"/>
  <c r="D563" i="2"/>
  <c r="C563" i="2"/>
  <c r="E562" i="2"/>
  <c r="D562" i="2"/>
  <c r="C562" i="2"/>
  <c r="E561" i="2"/>
  <c r="D561" i="2"/>
  <c r="C561" i="2"/>
  <c r="E560" i="2"/>
  <c r="D560" i="2"/>
  <c r="C560" i="2"/>
  <c r="E559" i="2"/>
  <c r="D559" i="2"/>
  <c r="C559" i="2"/>
  <c r="E558" i="2"/>
  <c r="D558" i="2"/>
  <c r="C558" i="2"/>
  <c r="E557" i="2"/>
  <c r="D557" i="2"/>
  <c r="C557" i="2"/>
  <c r="E556" i="2"/>
  <c r="D556" i="2"/>
  <c r="C556" i="2"/>
  <c r="E555" i="2"/>
  <c r="D555" i="2"/>
  <c r="C555" i="2"/>
  <c r="E554" i="2"/>
  <c r="D554" i="2"/>
  <c r="C554" i="2"/>
  <c r="E553" i="2"/>
  <c r="D553" i="2"/>
  <c r="C553" i="2"/>
  <c r="E552" i="2"/>
  <c r="D552" i="2"/>
  <c r="C552" i="2"/>
  <c r="E551" i="2"/>
  <c r="D551" i="2"/>
  <c r="C551" i="2"/>
  <c r="E550" i="2"/>
  <c r="D550" i="2"/>
  <c r="C550" i="2"/>
  <c r="E549" i="2"/>
  <c r="D549" i="2"/>
  <c r="C549" i="2"/>
  <c r="E548" i="2"/>
  <c r="D548" i="2"/>
  <c r="C548" i="2"/>
  <c r="E547" i="2"/>
  <c r="D547" i="2"/>
  <c r="C547" i="2"/>
  <c r="E546" i="2"/>
  <c r="D546" i="2"/>
  <c r="C546" i="2"/>
  <c r="E545" i="2"/>
  <c r="D545" i="2"/>
  <c r="C545" i="2"/>
  <c r="E544" i="2"/>
  <c r="D544" i="2"/>
  <c r="C544" i="2"/>
  <c r="E543" i="2"/>
  <c r="D543" i="2"/>
  <c r="C543" i="2"/>
  <c r="E542" i="2"/>
  <c r="D542" i="2"/>
  <c r="C542" i="2"/>
  <c r="E541" i="2"/>
  <c r="D541" i="2"/>
  <c r="C541" i="2"/>
  <c r="E540" i="2"/>
  <c r="D540" i="2"/>
  <c r="C540" i="2"/>
  <c r="E539" i="2"/>
  <c r="D539" i="2"/>
  <c r="C539" i="2"/>
  <c r="E538" i="2"/>
  <c r="D538" i="2"/>
  <c r="C538" i="2"/>
  <c r="E537" i="2"/>
  <c r="D537" i="2"/>
  <c r="C537" i="2"/>
  <c r="E536" i="2"/>
  <c r="D536" i="2"/>
  <c r="C536" i="2"/>
  <c r="E535" i="2"/>
  <c r="D535" i="2"/>
  <c r="C535" i="2"/>
  <c r="E534" i="2"/>
  <c r="D534" i="2"/>
  <c r="C534" i="2"/>
  <c r="E533" i="2"/>
  <c r="D533" i="2"/>
  <c r="C533" i="2"/>
  <c r="E532" i="2"/>
  <c r="D532" i="2"/>
  <c r="C532" i="2"/>
  <c r="E531" i="2"/>
  <c r="D531" i="2"/>
  <c r="C531" i="2"/>
  <c r="E530" i="2"/>
  <c r="D530" i="2"/>
  <c r="C530" i="2"/>
  <c r="E529" i="2"/>
  <c r="D529" i="2"/>
  <c r="C529" i="2"/>
  <c r="E528" i="2"/>
  <c r="D528" i="2"/>
  <c r="C528" i="2"/>
  <c r="E527" i="2"/>
  <c r="D527" i="2"/>
  <c r="C527" i="2"/>
  <c r="E526" i="2"/>
  <c r="D526" i="2"/>
  <c r="C526" i="2"/>
  <c r="E525" i="2"/>
  <c r="D525" i="2"/>
  <c r="C525" i="2"/>
  <c r="E524" i="2"/>
  <c r="D524" i="2"/>
  <c r="C524" i="2"/>
  <c r="E523" i="2"/>
  <c r="D523" i="2"/>
  <c r="C523" i="2"/>
  <c r="E522" i="2"/>
  <c r="D522" i="2"/>
  <c r="C522" i="2"/>
  <c r="E521" i="2"/>
  <c r="D521" i="2"/>
  <c r="C521" i="2"/>
  <c r="E520" i="2"/>
  <c r="D520" i="2"/>
  <c r="C520" i="2"/>
  <c r="E519" i="2"/>
  <c r="D519" i="2"/>
  <c r="C519" i="2"/>
  <c r="E518" i="2"/>
  <c r="D518" i="2"/>
  <c r="C518" i="2"/>
  <c r="E517" i="2"/>
  <c r="D517" i="2"/>
  <c r="C517" i="2"/>
  <c r="E516" i="2"/>
  <c r="D516" i="2"/>
  <c r="C516" i="2"/>
  <c r="E515" i="2"/>
  <c r="D515" i="2"/>
  <c r="C515" i="2"/>
  <c r="E514" i="2"/>
  <c r="D514" i="2"/>
  <c r="C514" i="2"/>
  <c r="E513" i="2"/>
  <c r="D513" i="2"/>
  <c r="C513" i="2"/>
  <c r="E512" i="2"/>
  <c r="D512" i="2"/>
  <c r="C512" i="2"/>
  <c r="E511" i="2"/>
  <c r="D511" i="2"/>
  <c r="C511" i="2"/>
  <c r="E510" i="2"/>
  <c r="D510" i="2"/>
  <c r="C510" i="2"/>
  <c r="E509" i="2"/>
  <c r="D509" i="2"/>
  <c r="C509" i="2"/>
  <c r="E508" i="2"/>
  <c r="D508" i="2"/>
  <c r="C508" i="2"/>
  <c r="E507" i="2"/>
  <c r="D507" i="2"/>
  <c r="C507" i="2"/>
  <c r="E506" i="2"/>
  <c r="D506" i="2"/>
  <c r="C506" i="2"/>
  <c r="E505" i="2"/>
  <c r="D505" i="2"/>
  <c r="C505" i="2"/>
  <c r="E504" i="2"/>
  <c r="D504" i="2"/>
  <c r="C504" i="2"/>
  <c r="E503" i="2"/>
  <c r="D503" i="2"/>
  <c r="C503" i="2"/>
  <c r="E502" i="2"/>
  <c r="D502" i="2"/>
  <c r="C502" i="2"/>
  <c r="E501" i="2"/>
  <c r="D501" i="2"/>
  <c r="C501" i="2"/>
  <c r="E500" i="2"/>
  <c r="D500" i="2"/>
  <c r="C500" i="2"/>
  <c r="E499" i="2"/>
  <c r="D499" i="2"/>
  <c r="C499" i="2"/>
  <c r="E498" i="2"/>
  <c r="D498" i="2"/>
  <c r="C498" i="2"/>
  <c r="E497" i="2"/>
  <c r="D497" i="2"/>
  <c r="C497" i="2"/>
  <c r="E496" i="2"/>
  <c r="D496" i="2"/>
  <c r="C496" i="2"/>
  <c r="E495" i="2"/>
  <c r="D495" i="2"/>
  <c r="C495" i="2"/>
  <c r="E494" i="2"/>
  <c r="D494" i="2"/>
  <c r="C494" i="2"/>
  <c r="E493" i="2"/>
  <c r="D493" i="2"/>
  <c r="C493" i="2"/>
  <c r="E492" i="2"/>
  <c r="D492" i="2"/>
  <c r="C492" i="2"/>
  <c r="E491" i="2"/>
  <c r="D491" i="2"/>
  <c r="C491" i="2"/>
  <c r="E490" i="2"/>
  <c r="D490" i="2"/>
  <c r="C490" i="2"/>
  <c r="E489" i="2"/>
  <c r="D489" i="2"/>
  <c r="C489" i="2"/>
  <c r="E488" i="2"/>
  <c r="D488" i="2"/>
  <c r="C488" i="2"/>
  <c r="E487" i="2"/>
  <c r="D487" i="2"/>
  <c r="C487" i="2"/>
  <c r="E486" i="2"/>
  <c r="D486" i="2"/>
  <c r="C486" i="2"/>
  <c r="E485" i="2"/>
  <c r="D485" i="2"/>
  <c r="C485" i="2"/>
  <c r="E484" i="2"/>
  <c r="D484" i="2"/>
  <c r="C484" i="2"/>
  <c r="E483" i="2"/>
  <c r="D483" i="2"/>
  <c r="C483" i="2"/>
  <c r="E482" i="2"/>
  <c r="D482" i="2"/>
  <c r="C482" i="2"/>
  <c r="E481" i="2"/>
  <c r="D481" i="2"/>
  <c r="C481" i="2"/>
  <c r="E480" i="2"/>
  <c r="D480" i="2"/>
  <c r="C480" i="2"/>
  <c r="E479" i="2"/>
  <c r="D479" i="2"/>
  <c r="C479" i="2"/>
  <c r="E478" i="2"/>
  <c r="D478" i="2"/>
  <c r="C478" i="2"/>
  <c r="E477" i="2"/>
  <c r="D477" i="2"/>
  <c r="C477" i="2"/>
  <c r="E476" i="2"/>
  <c r="D476" i="2"/>
  <c r="C476" i="2"/>
  <c r="E475" i="2"/>
  <c r="D475" i="2"/>
  <c r="C475" i="2"/>
  <c r="E474" i="2"/>
  <c r="D474" i="2"/>
  <c r="C474" i="2"/>
  <c r="E473" i="2"/>
  <c r="D473" i="2"/>
  <c r="C473" i="2"/>
  <c r="E472" i="2"/>
  <c r="D472" i="2"/>
  <c r="C472" i="2"/>
  <c r="E471" i="2"/>
  <c r="D471" i="2"/>
  <c r="C471" i="2"/>
  <c r="E470" i="2"/>
  <c r="D470" i="2"/>
  <c r="C470" i="2"/>
  <c r="E469" i="2"/>
  <c r="D469" i="2"/>
  <c r="C469" i="2"/>
  <c r="E468" i="2"/>
  <c r="D468" i="2"/>
  <c r="C468" i="2"/>
  <c r="E467" i="2"/>
  <c r="D467" i="2"/>
  <c r="C467" i="2"/>
  <c r="E466" i="2"/>
  <c r="D466" i="2"/>
  <c r="C466" i="2"/>
  <c r="E465" i="2"/>
  <c r="D465" i="2"/>
  <c r="C465" i="2"/>
  <c r="E464" i="2"/>
  <c r="D464" i="2"/>
  <c r="C464" i="2"/>
  <c r="E463" i="2"/>
  <c r="D463" i="2"/>
  <c r="C463" i="2"/>
  <c r="E462" i="2"/>
  <c r="D462" i="2"/>
  <c r="C462" i="2"/>
  <c r="E461" i="2"/>
  <c r="D461" i="2"/>
  <c r="C461" i="2"/>
  <c r="E460" i="2"/>
  <c r="D460" i="2"/>
  <c r="C460" i="2"/>
  <c r="E459" i="2"/>
  <c r="D459" i="2"/>
  <c r="C459" i="2"/>
  <c r="E458" i="2"/>
  <c r="D458" i="2"/>
  <c r="C458" i="2"/>
  <c r="E457" i="2"/>
  <c r="D457" i="2"/>
  <c r="C457" i="2"/>
  <c r="E456" i="2"/>
  <c r="D456" i="2"/>
  <c r="C456" i="2"/>
  <c r="E455" i="2"/>
  <c r="D455" i="2"/>
  <c r="C455" i="2"/>
  <c r="E454" i="2"/>
  <c r="D454" i="2"/>
  <c r="C454" i="2"/>
  <c r="E453" i="2"/>
  <c r="D453" i="2"/>
  <c r="C453" i="2"/>
  <c r="E452" i="2"/>
  <c r="D452" i="2"/>
  <c r="C452" i="2"/>
  <c r="E451" i="2"/>
  <c r="D451" i="2"/>
  <c r="C451" i="2"/>
  <c r="E450" i="2"/>
  <c r="D450" i="2"/>
  <c r="C450" i="2"/>
  <c r="E449" i="2"/>
  <c r="D449" i="2"/>
  <c r="C449" i="2"/>
  <c r="E448" i="2"/>
  <c r="D448" i="2"/>
  <c r="C448" i="2"/>
  <c r="E447" i="2"/>
  <c r="D447" i="2"/>
  <c r="C447" i="2"/>
  <c r="E446" i="2"/>
  <c r="D446" i="2"/>
  <c r="C446" i="2"/>
  <c r="E445" i="2"/>
  <c r="D445" i="2"/>
  <c r="C445" i="2"/>
  <c r="E444" i="2"/>
  <c r="D444" i="2"/>
  <c r="C444" i="2"/>
  <c r="E443" i="2"/>
  <c r="D443" i="2"/>
  <c r="C443" i="2"/>
  <c r="E442" i="2"/>
  <c r="D442" i="2"/>
  <c r="C442" i="2"/>
  <c r="E441" i="2"/>
  <c r="D441" i="2"/>
  <c r="C441" i="2"/>
  <c r="E440" i="2"/>
  <c r="D440" i="2"/>
  <c r="C440" i="2"/>
  <c r="E439" i="2"/>
  <c r="D439" i="2"/>
  <c r="C439" i="2"/>
  <c r="E438" i="2"/>
  <c r="D438" i="2"/>
  <c r="C438" i="2"/>
  <c r="E437" i="2"/>
  <c r="D437" i="2"/>
  <c r="C437" i="2"/>
  <c r="E436" i="2"/>
  <c r="D436" i="2"/>
  <c r="C436" i="2"/>
  <c r="E435" i="2"/>
  <c r="D435" i="2"/>
  <c r="C435" i="2"/>
  <c r="E434" i="2"/>
  <c r="D434" i="2"/>
  <c r="C434" i="2"/>
  <c r="E433" i="2"/>
  <c r="D433" i="2"/>
  <c r="C433" i="2"/>
  <c r="E432" i="2"/>
  <c r="D432" i="2"/>
  <c r="C432" i="2"/>
  <c r="E431" i="2"/>
  <c r="D431" i="2"/>
  <c r="C431" i="2"/>
  <c r="E430" i="2"/>
  <c r="D430" i="2"/>
  <c r="C430" i="2"/>
  <c r="E429" i="2"/>
  <c r="D429" i="2"/>
  <c r="C429" i="2"/>
  <c r="E428" i="2"/>
  <c r="D428" i="2"/>
  <c r="C428" i="2"/>
  <c r="E427" i="2"/>
  <c r="D427" i="2"/>
  <c r="C427" i="2"/>
  <c r="E426" i="2"/>
  <c r="D426" i="2"/>
  <c r="C426" i="2"/>
  <c r="E425" i="2"/>
  <c r="D425" i="2"/>
  <c r="C425" i="2"/>
  <c r="E424" i="2"/>
  <c r="D424" i="2"/>
  <c r="C424" i="2"/>
  <c r="E423" i="2"/>
  <c r="D423" i="2"/>
  <c r="C423" i="2"/>
  <c r="E422" i="2"/>
  <c r="D422" i="2"/>
  <c r="C422" i="2"/>
  <c r="E421" i="2"/>
  <c r="D421" i="2"/>
  <c r="C421" i="2"/>
  <c r="E420" i="2"/>
  <c r="D420" i="2"/>
  <c r="C420" i="2"/>
  <c r="E419" i="2"/>
  <c r="D419" i="2"/>
  <c r="C419" i="2"/>
  <c r="E418" i="2"/>
  <c r="D418" i="2"/>
  <c r="C418" i="2"/>
  <c r="E417" i="2"/>
  <c r="D417" i="2"/>
  <c r="C417" i="2"/>
  <c r="E416" i="2"/>
  <c r="D416" i="2"/>
  <c r="C416" i="2"/>
  <c r="E415" i="2"/>
  <c r="D415" i="2"/>
  <c r="C415" i="2"/>
  <c r="E414" i="2"/>
  <c r="D414" i="2"/>
  <c r="C414" i="2"/>
  <c r="E413" i="2"/>
  <c r="D413" i="2"/>
  <c r="C413" i="2"/>
  <c r="E412" i="2"/>
  <c r="D412" i="2"/>
  <c r="C412" i="2"/>
  <c r="E411" i="2"/>
  <c r="D411" i="2"/>
  <c r="C411" i="2"/>
  <c r="E410" i="2"/>
  <c r="D410" i="2"/>
  <c r="C410" i="2"/>
  <c r="E409" i="2"/>
  <c r="D409" i="2"/>
  <c r="C409" i="2"/>
  <c r="E408" i="2"/>
  <c r="D408" i="2"/>
  <c r="C408" i="2"/>
  <c r="E407" i="2"/>
  <c r="D407" i="2"/>
  <c r="C407" i="2"/>
  <c r="E406" i="2"/>
  <c r="D406" i="2"/>
  <c r="C406" i="2"/>
  <c r="E405" i="2"/>
  <c r="D405" i="2"/>
  <c r="C405" i="2"/>
  <c r="E404" i="2"/>
  <c r="D404" i="2"/>
  <c r="C404" i="2"/>
  <c r="E403" i="2"/>
  <c r="D403" i="2"/>
  <c r="C403" i="2"/>
  <c r="E402" i="2"/>
  <c r="D402" i="2"/>
  <c r="C402" i="2"/>
  <c r="E401" i="2"/>
  <c r="D401" i="2"/>
  <c r="C401" i="2"/>
  <c r="E400" i="2"/>
  <c r="D400" i="2"/>
  <c r="C400" i="2"/>
  <c r="E399" i="2"/>
  <c r="D399" i="2"/>
  <c r="C399" i="2"/>
  <c r="E398" i="2"/>
  <c r="D398" i="2"/>
  <c r="C398" i="2"/>
  <c r="E397" i="2"/>
  <c r="D397" i="2"/>
  <c r="C397" i="2"/>
  <c r="E396" i="2"/>
  <c r="D396" i="2"/>
  <c r="C396" i="2"/>
  <c r="E395" i="2"/>
  <c r="D395" i="2"/>
  <c r="C395" i="2"/>
  <c r="E394" i="2"/>
  <c r="D394" i="2"/>
  <c r="C394" i="2"/>
  <c r="E393" i="2"/>
  <c r="D393" i="2"/>
  <c r="C393" i="2"/>
  <c r="E392" i="2"/>
  <c r="D392" i="2"/>
  <c r="C392" i="2"/>
  <c r="E391" i="2"/>
  <c r="D391" i="2"/>
  <c r="C391" i="2"/>
  <c r="E390" i="2"/>
  <c r="D390" i="2"/>
  <c r="C390" i="2"/>
  <c r="E389" i="2"/>
  <c r="D389" i="2"/>
  <c r="C389" i="2"/>
  <c r="E388" i="2"/>
  <c r="D388" i="2"/>
  <c r="C388" i="2"/>
  <c r="E387" i="2"/>
  <c r="D387" i="2"/>
  <c r="C387" i="2"/>
  <c r="E386" i="2"/>
  <c r="D386" i="2"/>
  <c r="C386" i="2"/>
  <c r="E385" i="2"/>
  <c r="D385" i="2"/>
  <c r="C385" i="2"/>
  <c r="E384" i="2"/>
  <c r="D384" i="2"/>
  <c r="C384" i="2"/>
  <c r="E383" i="2"/>
  <c r="D383" i="2"/>
  <c r="C383" i="2"/>
  <c r="E382" i="2"/>
  <c r="D382" i="2"/>
  <c r="C382" i="2"/>
  <c r="E381" i="2"/>
  <c r="D381" i="2"/>
  <c r="C381" i="2"/>
  <c r="E380" i="2"/>
  <c r="D380" i="2"/>
  <c r="C380" i="2"/>
  <c r="E379" i="2"/>
  <c r="D379" i="2"/>
  <c r="C379" i="2"/>
  <c r="E378" i="2"/>
  <c r="D378" i="2"/>
  <c r="C378" i="2"/>
  <c r="E377" i="2"/>
  <c r="D377" i="2"/>
  <c r="C377" i="2"/>
  <c r="E376" i="2"/>
  <c r="D376" i="2"/>
  <c r="C376" i="2"/>
  <c r="E375" i="2"/>
  <c r="D375" i="2"/>
  <c r="C375" i="2"/>
  <c r="E374" i="2"/>
  <c r="D374" i="2"/>
  <c r="C374" i="2"/>
  <c r="E373" i="2"/>
  <c r="D373" i="2"/>
  <c r="C373" i="2"/>
  <c r="E372" i="2"/>
  <c r="D372" i="2"/>
  <c r="C372" i="2"/>
  <c r="E371" i="2"/>
  <c r="D371" i="2"/>
  <c r="C371" i="2"/>
  <c r="E370" i="2"/>
  <c r="D370" i="2"/>
  <c r="C370" i="2"/>
  <c r="E369" i="2"/>
  <c r="D369" i="2"/>
  <c r="C369" i="2"/>
  <c r="E368" i="2"/>
  <c r="D368" i="2"/>
  <c r="C368" i="2"/>
  <c r="E367" i="2"/>
  <c r="D367" i="2"/>
  <c r="C367" i="2"/>
  <c r="E366" i="2"/>
  <c r="D366" i="2"/>
  <c r="C366" i="2"/>
  <c r="E365" i="2"/>
  <c r="D365" i="2"/>
  <c r="C365" i="2"/>
  <c r="E364" i="2"/>
  <c r="D364" i="2"/>
  <c r="C364" i="2"/>
  <c r="E363" i="2"/>
  <c r="D363" i="2"/>
  <c r="C363" i="2"/>
  <c r="E362" i="2"/>
  <c r="D362" i="2"/>
  <c r="C362" i="2"/>
  <c r="E361" i="2"/>
  <c r="D361" i="2"/>
  <c r="C361" i="2"/>
  <c r="E360" i="2"/>
  <c r="D360" i="2"/>
  <c r="C360" i="2"/>
  <c r="E359" i="2"/>
  <c r="D359" i="2"/>
  <c r="C359" i="2"/>
  <c r="E358" i="2"/>
  <c r="D358" i="2"/>
  <c r="C358" i="2"/>
  <c r="E357" i="2"/>
  <c r="D357" i="2"/>
  <c r="C357" i="2"/>
  <c r="E356" i="2"/>
  <c r="D356" i="2"/>
  <c r="C356" i="2"/>
  <c r="E355" i="2"/>
  <c r="D355" i="2"/>
  <c r="C355" i="2"/>
  <c r="E354" i="2"/>
  <c r="D354" i="2"/>
  <c r="C354" i="2"/>
  <c r="E353" i="2"/>
  <c r="D353" i="2"/>
  <c r="C353" i="2"/>
  <c r="E352" i="2"/>
  <c r="D352" i="2"/>
  <c r="C352" i="2"/>
  <c r="E351" i="2"/>
  <c r="D351" i="2"/>
  <c r="C351" i="2"/>
  <c r="E350" i="2"/>
  <c r="D350" i="2"/>
  <c r="C350" i="2"/>
  <c r="E349" i="2"/>
  <c r="D349" i="2"/>
  <c r="C349" i="2"/>
  <c r="E348" i="2"/>
  <c r="D348" i="2"/>
  <c r="C348" i="2"/>
  <c r="E347" i="2"/>
  <c r="D347" i="2"/>
  <c r="C347" i="2"/>
  <c r="E346" i="2"/>
  <c r="D346" i="2"/>
  <c r="C346" i="2"/>
  <c r="E345" i="2"/>
  <c r="D345" i="2"/>
  <c r="C345" i="2"/>
  <c r="E344" i="2"/>
  <c r="D344" i="2"/>
  <c r="C344" i="2"/>
  <c r="E343" i="2"/>
  <c r="D343" i="2"/>
  <c r="C343" i="2"/>
  <c r="E342" i="2"/>
  <c r="D342" i="2"/>
  <c r="C342" i="2"/>
  <c r="E341" i="2"/>
  <c r="D341" i="2"/>
  <c r="C341" i="2"/>
  <c r="E340" i="2"/>
  <c r="D340" i="2"/>
  <c r="C340" i="2"/>
  <c r="E339" i="2"/>
  <c r="D339" i="2"/>
  <c r="C339" i="2"/>
  <c r="E338" i="2"/>
  <c r="D338" i="2"/>
  <c r="C338" i="2"/>
  <c r="E337" i="2"/>
  <c r="D337" i="2"/>
  <c r="C337" i="2"/>
  <c r="E336" i="2"/>
  <c r="D336" i="2"/>
  <c r="C336" i="2"/>
  <c r="E335" i="2"/>
  <c r="D335" i="2"/>
  <c r="C335" i="2"/>
  <c r="E334" i="2"/>
  <c r="D334" i="2"/>
  <c r="C334" i="2"/>
  <c r="E333" i="2"/>
  <c r="D333" i="2"/>
  <c r="C333" i="2"/>
  <c r="E332" i="2"/>
  <c r="D332" i="2"/>
  <c r="C332" i="2"/>
  <c r="E331" i="2"/>
  <c r="D331" i="2"/>
  <c r="C331" i="2"/>
  <c r="E330" i="2"/>
  <c r="D330" i="2"/>
  <c r="C330" i="2"/>
  <c r="E329" i="2"/>
  <c r="D329" i="2"/>
  <c r="C329" i="2"/>
  <c r="E328" i="2"/>
  <c r="D328" i="2"/>
  <c r="C328" i="2"/>
  <c r="E327" i="2"/>
  <c r="D327" i="2"/>
  <c r="C327" i="2"/>
  <c r="E326" i="2"/>
  <c r="D326" i="2"/>
  <c r="C326" i="2"/>
  <c r="E325" i="2"/>
  <c r="D325" i="2"/>
  <c r="C325" i="2"/>
  <c r="E324" i="2"/>
  <c r="D324" i="2"/>
  <c r="C324" i="2"/>
  <c r="E323" i="2"/>
  <c r="D323" i="2"/>
  <c r="C323" i="2"/>
  <c r="E322" i="2"/>
  <c r="D322" i="2"/>
  <c r="C322" i="2"/>
  <c r="E321" i="2"/>
  <c r="D321" i="2"/>
  <c r="C321" i="2"/>
  <c r="E320" i="2"/>
  <c r="D320" i="2"/>
  <c r="C320" i="2"/>
  <c r="E319" i="2"/>
  <c r="D319" i="2"/>
  <c r="C319" i="2"/>
  <c r="E318" i="2"/>
  <c r="D318" i="2"/>
  <c r="C318" i="2"/>
  <c r="E317" i="2"/>
  <c r="D317" i="2"/>
  <c r="C317" i="2"/>
  <c r="E316" i="2"/>
  <c r="D316" i="2"/>
  <c r="C316" i="2"/>
  <c r="E315" i="2"/>
  <c r="D315" i="2"/>
  <c r="C315" i="2"/>
  <c r="E314" i="2"/>
  <c r="D314" i="2"/>
  <c r="C314" i="2"/>
  <c r="E313" i="2"/>
  <c r="D313" i="2"/>
  <c r="C313" i="2"/>
  <c r="E312" i="2"/>
  <c r="D312" i="2"/>
  <c r="C312" i="2"/>
  <c r="E311" i="2"/>
  <c r="D311" i="2"/>
  <c r="C311" i="2"/>
  <c r="E310" i="2"/>
  <c r="D310" i="2"/>
  <c r="C310" i="2"/>
  <c r="E309" i="2"/>
  <c r="D309" i="2"/>
  <c r="C309" i="2"/>
  <c r="E308" i="2"/>
  <c r="D308" i="2"/>
  <c r="C308" i="2"/>
  <c r="E307" i="2"/>
  <c r="D307" i="2"/>
  <c r="C307" i="2"/>
  <c r="E306" i="2"/>
  <c r="D306" i="2"/>
  <c r="C306" i="2"/>
  <c r="E305" i="2"/>
  <c r="D305" i="2"/>
  <c r="C305" i="2"/>
  <c r="E304" i="2"/>
  <c r="D304" i="2"/>
  <c r="C304" i="2"/>
  <c r="E303" i="2"/>
  <c r="D303" i="2"/>
  <c r="C303" i="2"/>
  <c r="E302" i="2"/>
  <c r="D302" i="2"/>
  <c r="C302" i="2"/>
  <c r="E301" i="2"/>
  <c r="D301" i="2"/>
  <c r="C301" i="2"/>
  <c r="E300" i="2"/>
  <c r="D300" i="2"/>
  <c r="C300" i="2"/>
  <c r="E299" i="2"/>
  <c r="D299" i="2"/>
  <c r="C299" i="2"/>
  <c r="E298" i="2"/>
  <c r="D298" i="2"/>
  <c r="C298" i="2"/>
  <c r="E297" i="2"/>
  <c r="D297" i="2"/>
  <c r="C297" i="2"/>
  <c r="E296" i="2"/>
  <c r="D296" i="2"/>
  <c r="C296" i="2"/>
  <c r="E295" i="2"/>
  <c r="D295" i="2"/>
  <c r="C295" i="2"/>
  <c r="E294" i="2"/>
  <c r="D294" i="2"/>
  <c r="C294" i="2"/>
  <c r="E293" i="2"/>
  <c r="D293" i="2"/>
  <c r="C293" i="2"/>
  <c r="E292" i="2"/>
  <c r="D292" i="2"/>
  <c r="C292" i="2"/>
  <c r="E291" i="2"/>
  <c r="D291" i="2"/>
  <c r="C291" i="2"/>
  <c r="E290" i="2"/>
  <c r="D290" i="2"/>
  <c r="C290" i="2"/>
  <c r="E289" i="2"/>
  <c r="D289" i="2"/>
  <c r="C289" i="2"/>
  <c r="E288" i="2"/>
  <c r="D288" i="2"/>
  <c r="C288" i="2"/>
  <c r="E287" i="2"/>
  <c r="D287" i="2"/>
  <c r="C287" i="2"/>
  <c r="E286" i="2"/>
  <c r="D286" i="2"/>
  <c r="C286" i="2"/>
  <c r="E285" i="2"/>
  <c r="D285" i="2"/>
  <c r="C285" i="2"/>
  <c r="E284" i="2"/>
  <c r="D284" i="2"/>
  <c r="C284" i="2"/>
  <c r="E283" i="2"/>
  <c r="D283" i="2"/>
  <c r="C283" i="2"/>
  <c r="E282" i="2"/>
  <c r="D282" i="2"/>
  <c r="C282" i="2"/>
  <c r="E281" i="2"/>
  <c r="D281" i="2"/>
  <c r="C281" i="2"/>
  <c r="E280" i="2"/>
  <c r="D280" i="2"/>
  <c r="C280" i="2"/>
  <c r="E279" i="2"/>
  <c r="D279" i="2"/>
  <c r="C279" i="2"/>
  <c r="E278" i="2"/>
  <c r="D278" i="2"/>
  <c r="C278" i="2"/>
  <c r="E277" i="2"/>
  <c r="D277" i="2"/>
  <c r="C277" i="2"/>
  <c r="E276" i="2"/>
  <c r="D276" i="2"/>
  <c r="C276" i="2"/>
  <c r="E275" i="2"/>
  <c r="D275" i="2"/>
  <c r="C275" i="2"/>
  <c r="E274" i="2"/>
  <c r="D274" i="2"/>
  <c r="C274" i="2"/>
  <c r="E273" i="2"/>
  <c r="D273" i="2"/>
  <c r="C273" i="2"/>
  <c r="E272" i="2"/>
  <c r="D272" i="2"/>
  <c r="C272" i="2"/>
  <c r="E271" i="2"/>
  <c r="D271" i="2"/>
  <c r="C271" i="2"/>
  <c r="E270" i="2"/>
  <c r="D270" i="2"/>
  <c r="C270" i="2"/>
  <c r="E269" i="2"/>
  <c r="D269" i="2"/>
  <c r="C269" i="2"/>
  <c r="E268" i="2"/>
  <c r="D268" i="2"/>
  <c r="C268" i="2"/>
  <c r="E267" i="2"/>
  <c r="D267" i="2"/>
  <c r="C267" i="2"/>
  <c r="E266" i="2"/>
  <c r="D266" i="2"/>
  <c r="C266" i="2"/>
  <c r="E265" i="2"/>
  <c r="D265" i="2"/>
  <c r="C265" i="2"/>
  <c r="E264" i="2"/>
  <c r="D264" i="2"/>
  <c r="C264" i="2"/>
  <c r="E263" i="2"/>
  <c r="D263" i="2"/>
  <c r="C263" i="2"/>
  <c r="E262" i="2"/>
  <c r="D262" i="2"/>
  <c r="C262" i="2"/>
  <c r="E261" i="2"/>
  <c r="D261" i="2"/>
  <c r="C261" i="2"/>
  <c r="E260" i="2"/>
  <c r="D260" i="2"/>
  <c r="C260" i="2"/>
  <c r="E259" i="2"/>
  <c r="D259" i="2"/>
  <c r="C259" i="2"/>
  <c r="E258" i="2"/>
  <c r="D258" i="2"/>
  <c r="C258" i="2"/>
  <c r="E257" i="2"/>
  <c r="D257" i="2"/>
  <c r="C257" i="2"/>
  <c r="E256" i="2"/>
  <c r="D256" i="2"/>
  <c r="C256" i="2"/>
  <c r="E255" i="2"/>
  <c r="D255" i="2"/>
  <c r="C255" i="2"/>
  <c r="E254" i="2"/>
  <c r="D254" i="2"/>
  <c r="C254" i="2"/>
  <c r="E253" i="2"/>
  <c r="D253" i="2"/>
  <c r="C253" i="2"/>
  <c r="E252" i="2"/>
  <c r="D252" i="2"/>
  <c r="C252" i="2"/>
  <c r="E251" i="2"/>
  <c r="D251" i="2"/>
  <c r="C251" i="2"/>
  <c r="E250" i="2"/>
  <c r="D250" i="2"/>
  <c r="C250" i="2"/>
  <c r="E249" i="2"/>
  <c r="D249" i="2"/>
  <c r="C249" i="2"/>
  <c r="E248" i="2"/>
  <c r="D248" i="2"/>
  <c r="C248" i="2"/>
  <c r="E247" i="2"/>
  <c r="D247" i="2"/>
  <c r="C247" i="2"/>
  <c r="E246" i="2"/>
  <c r="D246" i="2"/>
  <c r="C246" i="2"/>
  <c r="E245" i="2"/>
  <c r="D245" i="2"/>
  <c r="C245" i="2"/>
  <c r="E244" i="2"/>
  <c r="D244" i="2"/>
  <c r="C244" i="2"/>
  <c r="E243" i="2"/>
  <c r="D243" i="2"/>
  <c r="C243" i="2"/>
  <c r="E242" i="2"/>
  <c r="D242" i="2"/>
  <c r="C242" i="2"/>
  <c r="E241" i="2"/>
  <c r="D241" i="2"/>
  <c r="C241" i="2"/>
  <c r="E240" i="2"/>
  <c r="D240" i="2"/>
  <c r="C240" i="2"/>
  <c r="E239" i="2"/>
  <c r="D239" i="2"/>
  <c r="C239" i="2"/>
  <c r="E238" i="2"/>
  <c r="D238" i="2"/>
  <c r="C238" i="2"/>
  <c r="E237" i="2"/>
  <c r="D237" i="2"/>
  <c r="C237" i="2"/>
  <c r="E236" i="2"/>
  <c r="D236" i="2"/>
  <c r="C236" i="2"/>
  <c r="E235" i="2"/>
  <c r="D235" i="2"/>
  <c r="C235" i="2"/>
  <c r="E234" i="2"/>
  <c r="D234" i="2"/>
  <c r="C234" i="2"/>
  <c r="E233" i="2"/>
  <c r="D233" i="2"/>
  <c r="C233" i="2"/>
  <c r="E232" i="2"/>
  <c r="D232" i="2"/>
  <c r="C232" i="2"/>
  <c r="E231" i="2"/>
  <c r="D231" i="2"/>
  <c r="C231" i="2"/>
  <c r="E230" i="2"/>
  <c r="D230" i="2"/>
  <c r="C230" i="2"/>
  <c r="E229" i="2"/>
  <c r="D229" i="2"/>
  <c r="C229" i="2"/>
  <c r="E228" i="2"/>
  <c r="D228" i="2"/>
  <c r="C228" i="2"/>
  <c r="E227" i="2"/>
  <c r="D227" i="2"/>
  <c r="C227" i="2"/>
  <c r="E226" i="2"/>
  <c r="D226" i="2"/>
  <c r="C226" i="2"/>
  <c r="E225" i="2"/>
  <c r="D225" i="2"/>
  <c r="C225" i="2"/>
  <c r="E224" i="2"/>
  <c r="D224" i="2"/>
  <c r="C224" i="2"/>
  <c r="E223" i="2"/>
  <c r="D223" i="2"/>
  <c r="C223" i="2"/>
  <c r="E222" i="2"/>
  <c r="D222" i="2"/>
  <c r="C222" i="2"/>
  <c r="E221" i="2"/>
  <c r="D221" i="2"/>
  <c r="C221" i="2"/>
  <c r="E220" i="2"/>
  <c r="D220" i="2"/>
  <c r="C220" i="2"/>
  <c r="E219" i="2"/>
  <c r="D219" i="2"/>
  <c r="C219" i="2"/>
  <c r="E218" i="2"/>
  <c r="D218" i="2"/>
  <c r="C218" i="2"/>
  <c r="E217" i="2"/>
  <c r="D217" i="2"/>
  <c r="C217" i="2"/>
  <c r="E216" i="2"/>
  <c r="D216" i="2"/>
  <c r="C216" i="2"/>
  <c r="E215" i="2"/>
  <c r="D215" i="2"/>
  <c r="C215" i="2"/>
  <c r="E214" i="2"/>
  <c r="D214" i="2"/>
  <c r="C214" i="2"/>
  <c r="E213" i="2"/>
  <c r="D213" i="2"/>
  <c r="C213" i="2"/>
  <c r="E212" i="2"/>
  <c r="D212" i="2"/>
  <c r="C212" i="2"/>
  <c r="E211" i="2"/>
  <c r="D211" i="2"/>
  <c r="C211" i="2"/>
  <c r="E210" i="2"/>
  <c r="D210" i="2"/>
  <c r="C210" i="2"/>
  <c r="E209" i="2"/>
  <c r="D209" i="2"/>
  <c r="C209" i="2"/>
  <c r="E208" i="2"/>
  <c r="D208" i="2"/>
  <c r="C208" i="2"/>
  <c r="E207" i="2"/>
  <c r="D207" i="2"/>
  <c r="C207" i="2"/>
  <c r="E206" i="2"/>
  <c r="D206" i="2"/>
  <c r="C206" i="2"/>
  <c r="E205" i="2"/>
  <c r="D205" i="2"/>
  <c r="C205" i="2"/>
  <c r="E204" i="2"/>
  <c r="D204" i="2"/>
  <c r="C204" i="2"/>
  <c r="E203" i="2"/>
  <c r="D203" i="2"/>
  <c r="C203" i="2"/>
  <c r="E202" i="2"/>
  <c r="D202" i="2"/>
  <c r="C202" i="2"/>
  <c r="E201" i="2"/>
  <c r="D201" i="2"/>
  <c r="C201" i="2"/>
  <c r="E200" i="2"/>
  <c r="D200" i="2"/>
  <c r="C200" i="2"/>
  <c r="E199" i="2"/>
  <c r="D199" i="2"/>
  <c r="C199" i="2"/>
  <c r="E198" i="2"/>
  <c r="D198" i="2"/>
  <c r="C198" i="2"/>
  <c r="E197" i="2"/>
  <c r="D197" i="2"/>
  <c r="C197" i="2"/>
  <c r="E196" i="2"/>
  <c r="D196" i="2"/>
  <c r="C196" i="2"/>
  <c r="E195" i="2"/>
  <c r="D195" i="2"/>
  <c r="C195" i="2"/>
  <c r="E194" i="2"/>
  <c r="D194" i="2"/>
  <c r="C194" i="2"/>
  <c r="E193" i="2"/>
  <c r="D193" i="2"/>
  <c r="C193" i="2"/>
  <c r="E192" i="2"/>
  <c r="D192" i="2"/>
  <c r="C192" i="2"/>
  <c r="E191" i="2"/>
  <c r="D191" i="2"/>
  <c r="C191" i="2"/>
  <c r="E190" i="2"/>
  <c r="D190" i="2"/>
  <c r="C190" i="2"/>
  <c r="E189" i="2"/>
  <c r="D189" i="2"/>
  <c r="C189" i="2"/>
  <c r="E188" i="2"/>
  <c r="D188" i="2"/>
  <c r="C188" i="2"/>
  <c r="E187" i="2"/>
  <c r="D187" i="2"/>
  <c r="C187" i="2"/>
  <c r="E186" i="2"/>
  <c r="D186" i="2"/>
  <c r="C186" i="2"/>
  <c r="E185" i="2"/>
  <c r="D185" i="2"/>
  <c r="C185" i="2"/>
  <c r="E184" i="2"/>
  <c r="D184" i="2"/>
  <c r="C184" i="2"/>
  <c r="E183" i="2"/>
  <c r="D183" i="2"/>
  <c r="C183" i="2"/>
  <c r="E182" i="2"/>
  <c r="D182" i="2"/>
  <c r="C182" i="2"/>
  <c r="E181" i="2"/>
  <c r="D181" i="2"/>
  <c r="C181" i="2"/>
  <c r="E180" i="2"/>
  <c r="D180" i="2"/>
  <c r="C180" i="2"/>
  <c r="E179" i="2"/>
  <c r="D179" i="2"/>
  <c r="C179" i="2"/>
  <c r="E178" i="2"/>
  <c r="D178" i="2"/>
  <c r="C178" i="2"/>
  <c r="E177" i="2"/>
  <c r="D177" i="2"/>
  <c r="C177" i="2"/>
  <c r="E176" i="2"/>
  <c r="D176" i="2"/>
  <c r="C176" i="2"/>
  <c r="E175" i="2"/>
  <c r="D175" i="2"/>
  <c r="C175" i="2"/>
  <c r="E174" i="2"/>
  <c r="D174" i="2"/>
  <c r="C174" i="2"/>
  <c r="E173" i="2"/>
  <c r="D173" i="2"/>
  <c r="C173" i="2"/>
  <c r="E172" i="2"/>
  <c r="D172" i="2"/>
  <c r="C172" i="2"/>
  <c r="E171" i="2"/>
  <c r="D171" i="2"/>
  <c r="C171" i="2"/>
  <c r="E170" i="2"/>
  <c r="D170" i="2"/>
  <c r="C170" i="2"/>
  <c r="E169" i="2"/>
  <c r="D169" i="2"/>
  <c r="C169" i="2"/>
  <c r="E168" i="2"/>
  <c r="D168" i="2"/>
  <c r="C168" i="2"/>
  <c r="E167" i="2"/>
  <c r="D167" i="2"/>
  <c r="C167" i="2"/>
  <c r="E166" i="2"/>
  <c r="D166" i="2"/>
  <c r="C166" i="2"/>
  <c r="E165" i="2"/>
  <c r="D165" i="2"/>
  <c r="C165" i="2"/>
  <c r="E164" i="2"/>
  <c r="D164" i="2"/>
  <c r="C164" i="2"/>
  <c r="E163" i="2"/>
  <c r="D163" i="2"/>
  <c r="C163" i="2"/>
  <c r="E162" i="2"/>
  <c r="D162" i="2"/>
  <c r="C162" i="2"/>
  <c r="E161" i="2"/>
  <c r="D161" i="2"/>
  <c r="C161" i="2"/>
  <c r="E160" i="2"/>
  <c r="D160" i="2"/>
  <c r="C160" i="2"/>
  <c r="E159" i="2"/>
  <c r="D159" i="2"/>
  <c r="C159" i="2"/>
  <c r="E158" i="2"/>
  <c r="D158" i="2"/>
  <c r="C158" i="2"/>
  <c r="E157" i="2"/>
  <c r="D157" i="2"/>
  <c r="C157" i="2"/>
  <c r="E156" i="2"/>
  <c r="D156" i="2"/>
  <c r="C156" i="2"/>
  <c r="E155" i="2"/>
  <c r="D155" i="2"/>
  <c r="C155" i="2"/>
  <c r="E154" i="2"/>
  <c r="D154" i="2"/>
  <c r="C154" i="2"/>
  <c r="E153" i="2"/>
  <c r="D153" i="2"/>
  <c r="C153" i="2"/>
  <c r="E152" i="2"/>
  <c r="D152" i="2"/>
  <c r="C152" i="2"/>
  <c r="E151" i="2"/>
  <c r="D151" i="2"/>
  <c r="C151" i="2"/>
  <c r="E150" i="2"/>
  <c r="D150" i="2"/>
  <c r="C150" i="2"/>
  <c r="E149" i="2"/>
  <c r="D149" i="2"/>
  <c r="C149" i="2"/>
  <c r="E148" i="2"/>
  <c r="D148" i="2"/>
  <c r="C148" i="2"/>
  <c r="E147" i="2"/>
  <c r="D147" i="2"/>
  <c r="C147" i="2"/>
  <c r="E146" i="2"/>
  <c r="D146" i="2"/>
  <c r="C146" i="2"/>
  <c r="E145" i="2"/>
  <c r="D145" i="2"/>
  <c r="C145" i="2"/>
  <c r="E144" i="2"/>
  <c r="D144" i="2"/>
  <c r="C144" i="2"/>
  <c r="E143" i="2"/>
  <c r="D143" i="2"/>
  <c r="C143" i="2"/>
  <c r="E142" i="2"/>
  <c r="D142" i="2"/>
  <c r="C142" i="2"/>
  <c r="E141" i="2"/>
  <c r="D141" i="2"/>
  <c r="C141" i="2"/>
  <c r="E140" i="2"/>
  <c r="D140" i="2"/>
  <c r="C140" i="2"/>
  <c r="E139" i="2"/>
  <c r="D139" i="2"/>
  <c r="C139" i="2"/>
  <c r="E138" i="2"/>
  <c r="D138" i="2"/>
  <c r="C138" i="2"/>
  <c r="E137" i="2"/>
  <c r="D137" i="2"/>
  <c r="C137" i="2"/>
  <c r="E136" i="2"/>
  <c r="D136" i="2"/>
  <c r="C136" i="2"/>
  <c r="E135" i="2"/>
  <c r="D135" i="2"/>
  <c r="C135" i="2"/>
  <c r="E134" i="2"/>
  <c r="D134" i="2"/>
  <c r="C134" i="2"/>
  <c r="E133" i="2"/>
  <c r="D133" i="2"/>
  <c r="C133" i="2"/>
  <c r="E132" i="2"/>
  <c r="D132" i="2"/>
  <c r="C132" i="2"/>
  <c r="E131" i="2"/>
  <c r="D131" i="2"/>
  <c r="C131" i="2"/>
  <c r="E130" i="2"/>
  <c r="D130" i="2"/>
  <c r="C130" i="2"/>
  <c r="E129" i="2"/>
  <c r="D129" i="2"/>
  <c r="C129" i="2"/>
  <c r="E128" i="2"/>
  <c r="D128" i="2"/>
  <c r="C128" i="2"/>
  <c r="E127" i="2"/>
  <c r="D127" i="2"/>
  <c r="C127" i="2"/>
  <c r="E126" i="2"/>
  <c r="D126" i="2"/>
  <c r="C126" i="2"/>
  <c r="E125" i="2"/>
  <c r="D125" i="2"/>
  <c r="C125" i="2"/>
  <c r="E124" i="2"/>
  <c r="D124" i="2"/>
  <c r="C124" i="2"/>
  <c r="E123" i="2"/>
  <c r="D123" i="2"/>
  <c r="C123" i="2"/>
  <c r="E122" i="2"/>
  <c r="D122" i="2"/>
  <c r="C122" i="2"/>
  <c r="E121" i="2"/>
  <c r="D121" i="2"/>
  <c r="C121" i="2"/>
  <c r="E120" i="2"/>
  <c r="D120" i="2"/>
  <c r="C120" i="2"/>
  <c r="E119" i="2"/>
  <c r="D119" i="2"/>
  <c r="C119" i="2"/>
  <c r="E118" i="2"/>
  <c r="D118" i="2"/>
  <c r="C118" i="2"/>
  <c r="E117" i="2"/>
  <c r="D117" i="2"/>
  <c r="C117" i="2"/>
  <c r="E116" i="2"/>
  <c r="D116" i="2"/>
  <c r="C116" i="2"/>
  <c r="E115" i="2"/>
  <c r="D115" i="2"/>
  <c r="C115" i="2"/>
  <c r="E114" i="2"/>
  <c r="D114" i="2"/>
  <c r="C114" i="2"/>
  <c r="E113" i="2"/>
  <c r="D113" i="2"/>
  <c r="C113" i="2"/>
  <c r="E112" i="2"/>
  <c r="D112" i="2"/>
  <c r="C112" i="2"/>
  <c r="E111" i="2"/>
  <c r="D111" i="2"/>
  <c r="C111" i="2"/>
  <c r="E110" i="2"/>
  <c r="D110" i="2"/>
  <c r="C110" i="2"/>
  <c r="E109" i="2"/>
  <c r="D109" i="2"/>
  <c r="C109" i="2"/>
  <c r="E108" i="2"/>
  <c r="D108" i="2"/>
  <c r="C108" i="2"/>
  <c r="E107" i="2"/>
  <c r="D107" i="2"/>
  <c r="C107" i="2"/>
  <c r="E106" i="2"/>
  <c r="D106" i="2"/>
  <c r="C106" i="2"/>
  <c r="E105" i="2"/>
  <c r="D105" i="2"/>
  <c r="C105" i="2"/>
  <c r="E104" i="2"/>
  <c r="D104" i="2"/>
  <c r="C104" i="2"/>
  <c r="E103" i="2"/>
  <c r="D103" i="2"/>
  <c r="C103" i="2"/>
  <c r="E102" i="2"/>
  <c r="D102" i="2"/>
  <c r="C102" i="2"/>
  <c r="E101" i="2"/>
  <c r="D101" i="2"/>
  <c r="C101" i="2"/>
  <c r="E100" i="2"/>
  <c r="D100" i="2"/>
  <c r="C100" i="2"/>
  <c r="E99" i="2"/>
  <c r="D99" i="2"/>
  <c r="C99" i="2"/>
  <c r="E98" i="2"/>
  <c r="D98" i="2"/>
  <c r="C98" i="2"/>
  <c r="E97" i="2"/>
  <c r="D97" i="2"/>
  <c r="C97" i="2"/>
  <c r="E96" i="2"/>
  <c r="D96" i="2"/>
  <c r="C96" i="2"/>
  <c r="E95" i="2"/>
  <c r="D95" i="2"/>
  <c r="C95" i="2"/>
  <c r="E94" i="2"/>
  <c r="D94" i="2"/>
  <c r="C94" i="2"/>
  <c r="E93" i="2"/>
  <c r="D93" i="2"/>
  <c r="C93" i="2"/>
  <c r="E92" i="2"/>
  <c r="D92" i="2"/>
  <c r="C92" i="2"/>
  <c r="E91" i="2"/>
  <c r="D91" i="2"/>
  <c r="C91" i="2"/>
  <c r="E90" i="2"/>
  <c r="D90" i="2"/>
  <c r="C90" i="2"/>
  <c r="E89" i="2"/>
  <c r="D89" i="2"/>
  <c r="C89" i="2"/>
  <c r="E88" i="2"/>
  <c r="D88" i="2"/>
  <c r="C88" i="2"/>
  <c r="E87" i="2"/>
  <c r="D87" i="2"/>
  <c r="C87" i="2"/>
  <c r="E86" i="2"/>
  <c r="D86" i="2"/>
  <c r="C86" i="2"/>
  <c r="E85" i="2"/>
  <c r="D85" i="2"/>
  <c r="C85" i="2"/>
  <c r="E84" i="2"/>
  <c r="D84" i="2"/>
  <c r="C84" i="2"/>
  <c r="E83" i="2"/>
  <c r="D83" i="2"/>
  <c r="C83" i="2"/>
  <c r="E82" i="2"/>
  <c r="D82" i="2"/>
  <c r="C82" i="2"/>
  <c r="E81" i="2"/>
  <c r="D81" i="2"/>
  <c r="C81" i="2"/>
  <c r="E80" i="2"/>
  <c r="D80" i="2"/>
  <c r="C80" i="2"/>
  <c r="E79" i="2"/>
  <c r="D79" i="2"/>
  <c r="C79" i="2"/>
  <c r="E78" i="2"/>
  <c r="D78" i="2"/>
  <c r="C78" i="2"/>
  <c r="E77" i="2"/>
  <c r="D77" i="2"/>
  <c r="C77" i="2"/>
  <c r="E76" i="2"/>
  <c r="D76" i="2"/>
  <c r="C76" i="2"/>
  <c r="E75" i="2"/>
  <c r="D75" i="2"/>
  <c r="C75" i="2"/>
  <c r="E74" i="2"/>
  <c r="D74" i="2"/>
  <c r="C74" i="2"/>
  <c r="E73" i="2"/>
  <c r="D73" i="2"/>
  <c r="C73" i="2"/>
  <c r="E72" i="2"/>
  <c r="D72" i="2"/>
  <c r="C72" i="2"/>
  <c r="E71" i="2"/>
  <c r="D71" i="2"/>
  <c r="C71" i="2"/>
  <c r="E70" i="2"/>
  <c r="D70" i="2"/>
  <c r="C70" i="2"/>
  <c r="E69" i="2"/>
  <c r="D69" i="2"/>
  <c r="C69" i="2"/>
  <c r="E68" i="2"/>
  <c r="D68" i="2"/>
  <c r="C68" i="2"/>
  <c r="E67" i="2"/>
  <c r="D67" i="2"/>
  <c r="C67" i="2"/>
  <c r="E66" i="2"/>
  <c r="D66" i="2"/>
  <c r="C66" i="2"/>
  <c r="E65" i="2"/>
  <c r="D65" i="2"/>
  <c r="C65" i="2"/>
  <c r="E64" i="2"/>
  <c r="D64" i="2"/>
  <c r="C64" i="2"/>
  <c r="E63" i="2"/>
  <c r="D63" i="2"/>
  <c r="C63" i="2"/>
  <c r="E62" i="2"/>
  <c r="D62" i="2"/>
  <c r="C62" i="2"/>
  <c r="E61" i="2"/>
  <c r="D61" i="2"/>
  <c r="C61" i="2"/>
  <c r="E60" i="2"/>
  <c r="D60" i="2"/>
  <c r="C60" i="2"/>
  <c r="E59" i="2"/>
  <c r="D59" i="2"/>
  <c r="C59" i="2"/>
  <c r="E58" i="2"/>
  <c r="D58" i="2"/>
  <c r="C58" i="2"/>
  <c r="E57" i="2"/>
  <c r="D57" i="2"/>
  <c r="C57" i="2"/>
  <c r="E56" i="2"/>
  <c r="D56" i="2"/>
  <c r="C56" i="2"/>
  <c r="E55" i="2"/>
  <c r="D55" i="2"/>
  <c r="C55" i="2"/>
  <c r="E54" i="2"/>
  <c r="D54" i="2"/>
  <c r="C54" i="2"/>
  <c r="E53" i="2"/>
  <c r="D53" i="2"/>
  <c r="C53" i="2"/>
  <c r="E52" i="2"/>
  <c r="D52" i="2"/>
  <c r="C52" i="2"/>
  <c r="E51" i="2"/>
  <c r="D51" i="2"/>
  <c r="C51" i="2"/>
  <c r="E50" i="2"/>
  <c r="D50" i="2"/>
  <c r="C50" i="2"/>
  <c r="E49" i="2"/>
  <c r="D49" i="2"/>
  <c r="C49" i="2"/>
  <c r="E48" i="2"/>
  <c r="D48" i="2"/>
  <c r="C48" i="2"/>
  <c r="E47" i="2"/>
  <c r="D47" i="2"/>
  <c r="C47" i="2"/>
  <c r="E46" i="2"/>
  <c r="D46" i="2"/>
  <c r="C46" i="2"/>
  <c r="E45" i="2"/>
  <c r="D45" i="2"/>
  <c r="C45" i="2"/>
  <c r="E44" i="2"/>
  <c r="D44" i="2"/>
  <c r="C44" i="2"/>
  <c r="E43" i="2"/>
  <c r="D43" i="2"/>
  <c r="C43" i="2"/>
  <c r="E42" i="2"/>
  <c r="D42" i="2"/>
  <c r="C42" i="2"/>
  <c r="E41" i="2"/>
  <c r="D41" i="2"/>
  <c r="C41" i="2"/>
  <c r="E40" i="2"/>
  <c r="D40" i="2"/>
  <c r="C40" i="2"/>
  <c r="E39" i="2"/>
  <c r="D39" i="2"/>
  <c r="C39" i="2"/>
  <c r="E38" i="2"/>
  <c r="D38" i="2"/>
  <c r="C38" i="2"/>
  <c r="E37" i="2"/>
  <c r="D37" i="2"/>
  <c r="C37" i="2"/>
  <c r="E36" i="2"/>
  <c r="D36" i="2"/>
  <c r="C36" i="2"/>
  <c r="E35" i="2"/>
  <c r="D35" i="2"/>
  <c r="C35" i="2"/>
  <c r="E34" i="2"/>
  <c r="D34" i="2"/>
  <c r="C34" i="2"/>
  <c r="E33" i="2"/>
  <c r="D33" i="2"/>
  <c r="C33" i="2"/>
  <c r="E32" i="2"/>
  <c r="D32" i="2"/>
  <c r="C32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H8" i="2"/>
  <c r="E8" i="2"/>
  <c r="D8" i="2"/>
  <c r="C8" i="2"/>
  <c r="H7" i="2"/>
  <c r="E7" i="2"/>
  <c r="D7" i="2"/>
  <c r="C7" i="2"/>
  <c r="H6" i="2"/>
  <c r="E6" i="2"/>
  <c r="D6" i="2"/>
  <c r="C6" i="2"/>
  <c r="H5" i="2"/>
  <c r="E5" i="2"/>
  <c r="D5" i="2"/>
  <c r="C5" i="2"/>
  <c r="H4" i="2"/>
  <c r="E4" i="2"/>
  <c r="D4" i="2"/>
  <c r="C4" i="2"/>
  <c r="H3" i="2"/>
  <c r="E3" i="2"/>
  <c r="D3" i="2"/>
  <c r="C3" i="2"/>
  <c r="H2" i="2"/>
  <c r="F797" i="2" s="1"/>
  <c r="E2" i="2"/>
  <c r="D2" i="2"/>
  <c r="C2" i="2"/>
  <c r="F437" i="2" l="1"/>
  <c r="R57" i="7"/>
  <c r="R56" i="7"/>
  <c r="R8" i="7"/>
  <c r="R55" i="7"/>
  <c r="R54" i="7"/>
  <c r="R53" i="7"/>
  <c r="R52" i="7"/>
  <c r="R51" i="7"/>
  <c r="R41" i="7"/>
  <c r="R23" i="7"/>
  <c r="R50" i="7"/>
  <c r="R49" i="7"/>
  <c r="R40" i="7"/>
  <c r="R48" i="7"/>
  <c r="R39" i="7"/>
  <c r="R47" i="7"/>
  <c r="R29" i="7"/>
  <c r="R11" i="7"/>
  <c r="R6" i="7"/>
  <c r="R38" i="7"/>
  <c r="R46" i="7"/>
  <c r="R37" i="7"/>
  <c r="R28" i="7"/>
  <c r="R19" i="7"/>
  <c r="R10" i="7"/>
  <c r="R45" i="7"/>
  <c r="R35" i="7"/>
  <c r="R17" i="7"/>
  <c r="R7" i="7"/>
  <c r="R3" i="7"/>
  <c r="R44" i="7"/>
  <c r="R43" i="7"/>
  <c r="R42" i="7"/>
  <c r="R25" i="7"/>
  <c r="R13" i="7"/>
  <c r="R24" i="7"/>
  <c r="R12" i="7"/>
  <c r="R4" i="7"/>
  <c r="R36" i="7"/>
  <c r="R5" i="7"/>
  <c r="R22" i="7"/>
  <c r="R9" i="7"/>
  <c r="R2" i="7"/>
  <c r="R34" i="7"/>
  <c r="R21" i="7"/>
  <c r="R33" i="7"/>
  <c r="R20" i="7"/>
  <c r="R32" i="7"/>
  <c r="R18" i="7"/>
  <c r="R31" i="7"/>
  <c r="R30" i="7"/>
  <c r="R15" i="7"/>
  <c r="R27" i="7"/>
  <c r="R26" i="7"/>
  <c r="R14" i="7"/>
  <c r="R16" i="7"/>
  <c r="F5" i="2"/>
  <c r="F17" i="2"/>
  <c r="F30" i="2"/>
  <c r="F53" i="2"/>
  <c r="F66" i="2"/>
  <c r="F89" i="2"/>
  <c r="F107" i="2"/>
  <c r="F125" i="2"/>
  <c r="F143" i="2"/>
  <c r="F161" i="2"/>
  <c r="F179" i="2"/>
  <c r="F186" i="2"/>
  <c r="F221" i="2"/>
  <c r="F305" i="2"/>
  <c r="F312" i="2"/>
  <c r="F323" i="2"/>
  <c r="F359" i="2"/>
  <c r="F653" i="2"/>
  <c r="F810" i="2"/>
  <c r="F50" i="2"/>
  <c r="F263" i="2"/>
  <c r="F47" i="2"/>
  <c r="F60" i="2"/>
  <c r="F83" i="2"/>
  <c r="F104" i="2"/>
  <c r="F122" i="2"/>
  <c r="F140" i="2"/>
  <c r="F158" i="2"/>
  <c r="F176" i="2"/>
  <c r="F197" i="2"/>
  <c r="F204" i="2"/>
  <c r="F218" i="2"/>
  <c r="F225" i="2"/>
  <c r="F239" i="2"/>
  <c r="F246" i="2"/>
  <c r="F270" i="2"/>
  <c r="F281" i="2"/>
  <c r="F288" i="2"/>
  <c r="F503" i="2"/>
  <c r="F522" i="2"/>
  <c r="F611" i="2"/>
  <c r="F630" i="2"/>
  <c r="F689" i="2"/>
  <c r="F846" i="2"/>
  <c r="F44" i="2"/>
  <c r="F57" i="2"/>
  <c r="F80" i="2"/>
  <c r="F215" i="2"/>
  <c r="F267" i="2"/>
  <c r="F299" i="2"/>
  <c r="F371" i="2"/>
  <c r="F378" i="2"/>
  <c r="F408" i="2"/>
  <c r="F419" i="2"/>
  <c r="F480" i="2"/>
  <c r="F588" i="2"/>
  <c r="F8" i="2"/>
  <c r="F11" i="2"/>
  <c r="F24" i="2"/>
  <c r="F21" i="2"/>
  <c r="F6" i="2"/>
  <c r="F18" i="2"/>
  <c r="F41" i="2"/>
  <c r="F54" i="2"/>
  <c r="F77" i="2"/>
  <c r="F101" i="2"/>
  <c r="F119" i="2"/>
  <c r="F137" i="2"/>
  <c r="F155" i="2"/>
  <c r="F173" i="2"/>
  <c r="F222" i="2"/>
  <c r="F257" i="2"/>
  <c r="F306" i="2"/>
  <c r="F317" i="2"/>
  <c r="F324" i="2"/>
  <c r="F335" i="2"/>
  <c r="F360" i="2"/>
  <c r="F666" i="2"/>
  <c r="F725" i="2"/>
  <c r="F63" i="2"/>
  <c r="F15" i="2"/>
  <c r="F38" i="2"/>
  <c r="F51" i="2"/>
  <c r="F74" i="2"/>
  <c r="F87" i="2"/>
  <c r="F191" i="2"/>
  <c r="F212" i="2"/>
  <c r="F264" i="2"/>
  <c r="F303" i="2"/>
  <c r="F342" i="2"/>
  <c r="F390" i="2"/>
  <c r="F401" i="2"/>
  <c r="F431" i="2"/>
  <c r="F473" i="2"/>
  <c r="F581" i="2"/>
  <c r="F3" i="2"/>
  <c r="F228" i="2"/>
  <c r="F35" i="2"/>
  <c r="F116" i="2"/>
  <c r="F275" i="2"/>
  <c r="F282" i="2"/>
  <c r="F339" i="2"/>
  <c r="F450" i="2"/>
  <c r="F539" i="2"/>
  <c r="F558" i="2"/>
  <c r="F702" i="2"/>
  <c r="F761" i="2"/>
  <c r="F14" i="2"/>
  <c r="F348" i="2"/>
  <c r="F12" i="2"/>
  <c r="F71" i="2"/>
  <c r="F209" i="2"/>
  <c r="F233" i="2"/>
  <c r="F240" i="2"/>
  <c r="F254" i="2"/>
  <c r="F261" i="2"/>
  <c r="F9" i="2"/>
  <c r="F32" i="2"/>
  <c r="F45" i="2"/>
  <c r="F68" i="2"/>
  <c r="F81" i="2"/>
  <c r="F195" i="2"/>
  <c r="F216" i="2"/>
  <c r="F251" i="2"/>
  <c r="F293" i="2"/>
  <c r="F300" i="2"/>
  <c r="F372" i="2"/>
  <c r="F383" i="2"/>
  <c r="F413" i="2"/>
  <c r="F516" i="2"/>
  <c r="F624" i="2"/>
  <c r="F86" i="2"/>
  <c r="F545" i="2"/>
  <c r="F48" i="2"/>
  <c r="F134" i="2"/>
  <c r="F152" i="2"/>
  <c r="F29" i="2"/>
  <c r="F113" i="2"/>
  <c r="F131" i="2"/>
  <c r="F149" i="2"/>
  <c r="F167" i="2"/>
  <c r="F185" i="2"/>
  <c r="F258" i="2"/>
  <c r="F311" i="2"/>
  <c r="F318" i="2"/>
  <c r="F336" i="2"/>
  <c r="F354" i="2"/>
  <c r="F365" i="2"/>
  <c r="F738" i="2"/>
  <c r="S57" i="7"/>
  <c r="S51" i="7"/>
  <c r="S45" i="7"/>
  <c r="S39" i="7"/>
  <c r="S33" i="7"/>
  <c r="S27" i="7"/>
  <c r="S21" i="7"/>
  <c r="S15" i="7"/>
  <c r="S9" i="7"/>
  <c r="S5" i="7"/>
  <c r="S2" i="7"/>
  <c r="S56" i="7"/>
  <c r="S55" i="7"/>
  <c r="S49" i="7"/>
  <c r="S43" i="7"/>
  <c r="S37" i="7"/>
  <c r="S31" i="7"/>
  <c r="S25" i="7"/>
  <c r="S19" i="7"/>
  <c r="S13" i="7"/>
  <c r="S54" i="7"/>
  <c r="S48" i="7"/>
  <c r="S42" i="7"/>
  <c r="S36" i="7"/>
  <c r="S30" i="7"/>
  <c r="S24" i="7"/>
  <c r="S18" i="7"/>
  <c r="S12" i="7"/>
  <c r="A5" i="7"/>
  <c r="S53" i="7"/>
  <c r="S47" i="7"/>
  <c r="S41" i="7"/>
  <c r="S35" i="7"/>
  <c r="S29" i="7"/>
  <c r="S23" i="7"/>
  <c r="S17" i="7"/>
  <c r="S11" i="7"/>
  <c r="S52" i="7"/>
  <c r="S50" i="7"/>
  <c r="S32" i="7"/>
  <c r="S38" i="7"/>
  <c r="S20" i="7"/>
  <c r="S46" i="7"/>
  <c r="S44" i="7"/>
  <c r="S26" i="7"/>
  <c r="S4" i="7"/>
  <c r="S40" i="7"/>
  <c r="S7" i="7"/>
  <c r="S22" i="7"/>
  <c r="S10" i="7"/>
  <c r="S34" i="7"/>
  <c r="S8" i="7"/>
  <c r="S16" i="7"/>
  <c r="S28" i="7"/>
  <c r="S14" i="7"/>
  <c r="S6" i="7"/>
  <c r="S3" i="7"/>
  <c r="B9" i="3"/>
  <c r="F2876" i="2"/>
  <c r="F2873" i="2"/>
  <c r="F2870" i="2"/>
  <c r="F2867" i="2"/>
  <c r="F2864" i="2"/>
  <c r="F2861" i="2"/>
  <c r="F2858" i="2"/>
  <c r="F2855" i="2"/>
  <c r="F2852" i="2"/>
  <c r="F2849" i="2"/>
  <c r="F2846" i="2"/>
  <c r="F2843" i="2"/>
  <c r="F2840" i="2"/>
  <c r="F2837" i="2"/>
  <c r="F2834" i="2"/>
  <c r="F2831" i="2"/>
  <c r="F2828" i="2"/>
  <c r="F2825" i="2"/>
  <c r="F2822" i="2"/>
  <c r="F2819" i="2"/>
  <c r="F2816" i="2"/>
  <c r="F2813" i="2"/>
  <c r="F2810" i="2"/>
  <c r="F2807" i="2"/>
  <c r="F2804" i="2"/>
  <c r="F2801" i="2"/>
  <c r="F2798" i="2"/>
  <c r="F2795" i="2"/>
  <c r="F2792" i="2"/>
  <c r="F2789" i="2"/>
  <c r="F2786" i="2"/>
  <c r="F2783" i="2"/>
  <c r="F2780" i="2"/>
  <c r="F2777" i="2"/>
  <c r="F2774" i="2"/>
  <c r="F2771" i="2"/>
  <c r="F2768" i="2"/>
  <c r="F2765" i="2"/>
  <c r="F2762" i="2"/>
  <c r="F2759" i="2"/>
  <c r="F2756" i="2"/>
  <c r="F2753" i="2"/>
  <c r="F2750" i="2"/>
  <c r="F2747" i="2"/>
  <c r="F2744" i="2"/>
  <c r="F2741" i="2"/>
  <c r="F2738" i="2"/>
  <c r="F2735" i="2"/>
  <c r="F2732" i="2"/>
  <c r="F2729" i="2"/>
  <c r="F2726" i="2"/>
  <c r="F2723" i="2"/>
  <c r="F2720" i="2"/>
  <c r="F2717" i="2"/>
  <c r="F2714" i="2"/>
  <c r="F2711" i="2"/>
  <c r="F2708" i="2"/>
  <c r="F2705" i="2"/>
  <c r="F2702" i="2"/>
  <c r="F2699" i="2"/>
  <c r="F2696" i="2"/>
  <c r="F2693" i="2"/>
  <c r="F2690" i="2"/>
  <c r="F2687" i="2"/>
  <c r="F2684" i="2"/>
  <c r="F2681" i="2"/>
  <c r="F2678" i="2"/>
  <c r="F2675" i="2"/>
  <c r="F2672" i="2"/>
  <c r="F2669" i="2"/>
  <c r="F2666" i="2"/>
  <c r="F2663" i="2"/>
  <c r="F2660" i="2"/>
  <c r="F2657" i="2"/>
  <c r="F2654" i="2"/>
  <c r="F2651" i="2"/>
  <c r="F2648" i="2"/>
  <c r="F2645" i="2"/>
  <c r="F2642" i="2"/>
  <c r="F2639" i="2"/>
  <c r="F2636" i="2"/>
  <c r="F2633" i="2"/>
  <c r="F2630" i="2"/>
  <c r="F2627" i="2"/>
  <c r="F2624" i="2"/>
  <c r="F2621" i="2"/>
  <c r="F2618" i="2"/>
  <c r="F2615" i="2"/>
  <c r="F2612" i="2"/>
  <c r="F2609" i="2"/>
  <c r="F2606" i="2"/>
  <c r="F2603" i="2"/>
  <c r="F2600" i="2"/>
  <c r="F2597" i="2"/>
  <c r="F2594" i="2"/>
  <c r="F2591" i="2"/>
  <c r="F2588" i="2"/>
  <c r="F2585" i="2"/>
  <c r="F2582" i="2"/>
  <c r="F2579" i="2"/>
  <c r="F2576" i="2"/>
  <c r="F2573" i="2"/>
  <c r="F2570" i="2"/>
  <c r="F2567" i="2"/>
  <c r="F2866" i="2"/>
  <c r="F2869" i="2"/>
  <c r="F2856" i="2"/>
  <c r="F2833" i="2"/>
  <c r="F2820" i="2"/>
  <c r="F2797" i="2"/>
  <c r="F2784" i="2"/>
  <c r="F2761" i="2"/>
  <c r="F2748" i="2"/>
  <c r="F2725" i="2"/>
  <c r="F2712" i="2"/>
  <c r="F2689" i="2"/>
  <c r="F2676" i="2"/>
  <c r="F2653" i="2"/>
  <c r="F2640" i="2"/>
  <c r="F2617" i="2"/>
  <c r="F2604" i="2"/>
  <c r="F2581" i="2"/>
  <c r="F2568" i="2"/>
  <c r="F2872" i="2"/>
  <c r="F2859" i="2"/>
  <c r="F2836" i="2"/>
  <c r="F2823" i="2"/>
  <c r="F2800" i="2"/>
  <c r="F2787" i="2"/>
  <c r="F2764" i="2"/>
  <c r="F2751" i="2"/>
  <c r="F2728" i="2"/>
  <c r="F2715" i="2"/>
  <c r="F2692" i="2"/>
  <c r="F2679" i="2"/>
  <c r="F2656" i="2"/>
  <c r="F2643" i="2"/>
  <c r="F2620" i="2"/>
  <c r="F2607" i="2"/>
  <c r="F2584" i="2"/>
  <c r="F2571" i="2"/>
  <c r="F2875" i="2"/>
  <c r="F2862" i="2"/>
  <c r="F2839" i="2"/>
  <c r="F2826" i="2"/>
  <c r="F2803" i="2"/>
  <c r="F2790" i="2"/>
  <c r="F2767" i="2"/>
  <c r="F2754" i="2"/>
  <c r="F2731" i="2"/>
  <c r="F2718" i="2"/>
  <c r="F2695" i="2"/>
  <c r="F2682" i="2"/>
  <c r="F2659" i="2"/>
  <c r="F2646" i="2"/>
  <c r="F2623" i="2"/>
  <c r="F2610" i="2"/>
  <c r="F2587" i="2"/>
  <c r="F2574" i="2"/>
  <c r="F2878" i="2"/>
  <c r="F2865" i="2"/>
  <c r="F2842" i="2"/>
  <c r="F2829" i="2"/>
  <c r="F2806" i="2"/>
  <c r="F2793" i="2"/>
  <c r="F2770" i="2"/>
  <c r="F2757" i="2"/>
  <c r="F2734" i="2"/>
  <c r="F2721" i="2"/>
  <c r="F2698" i="2"/>
  <c r="F2685" i="2"/>
  <c r="F2662" i="2"/>
  <c r="F2649" i="2"/>
  <c r="F2626" i="2"/>
  <c r="F2613" i="2"/>
  <c r="F2590" i="2"/>
  <c r="F2577" i="2"/>
  <c r="F2564" i="2"/>
  <c r="F2561" i="2"/>
  <c r="F2558" i="2"/>
  <c r="F2555" i="2"/>
  <c r="F2552" i="2"/>
  <c r="F2549" i="2"/>
  <c r="F2546" i="2"/>
  <c r="F2543" i="2"/>
  <c r="F2540" i="2"/>
  <c r="F2537" i="2"/>
  <c r="F2534" i="2"/>
  <c r="F2531" i="2"/>
  <c r="F2528" i="2"/>
  <c r="F2525" i="2"/>
  <c r="F2522" i="2"/>
  <c r="F2519" i="2"/>
  <c r="F2516" i="2"/>
  <c r="F2513" i="2"/>
  <c r="F2510" i="2"/>
  <c r="F2507" i="2"/>
  <c r="F2504" i="2"/>
  <c r="F2501" i="2"/>
  <c r="F2498" i="2"/>
  <c r="F2495" i="2"/>
  <c r="F2492" i="2"/>
  <c r="F2489" i="2"/>
  <c r="F2486" i="2"/>
  <c r="F2483" i="2"/>
  <c r="F2480" i="2"/>
  <c r="F2477" i="2"/>
  <c r="F2474" i="2"/>
  <c r="F2471" i="2"/>
  <c r="F2468" i="2"/>
  <c r="F2465" i="2"/>
  <c r="F2462" i="2"/>
  <c r="F2459" i="2"/>
  <c r="F2456" i="2"/>
  <c r="F2453" i="2"/>
  <c r="F2450" i="2"/>
  <c r="F2447" i="2"/>
  <c r="F2444" i="2"/>
  <c r="F2441" i="2"/>
  <c r="F2438" i="2"/>
  <c r="F2435" i="2"/>
  <c r="F2432" i="2"/>
  <c r="F2429" i="2"/>
  <c r="F2426" i="2"/>
  <c r="F2423" i="2"/>
  <c r="F2420" i="2"/>
  <c r="F2417" i="2"/>
  <c r="F2414" i="2"/>
  <c r="F2411" i="2"/>
  <c r="F2868" i="2"/>
  <c r="F2871" i="2"/>
  <c r="F2848" i="2"/>
  <c r="F2835" i="2"/>
  <c r="F2812" i="2"/>
  <c r="F2799" i="2"/>
  <c r="F2776" i="2"/>
  <c r="F2763" i="2"/>
  <c r="F2740" i="2"/>
  <c r="F2727" i="2"/>
  <c r="F2704" i="2"/>
  <c r="F2691" i="2"/>
  <c r="F2668" i="2"/>
  <c r="F2655" i="2"/>
  <c r="F2632" i="2"/>
  <c r="F2619" i="2"/>
  <c r="F2596" i="2"/>
  <c r="F2583" i="2"/>
  <c r="F2874" i="2"/>
  <c r="F2851" i="2"/>
  <c r="F2838" i="2"/>
  <c r="F2815" i="2"/>
  <c r="F2802" i="2"/>
  <c r="F2779" i="2"/>
  <c r="F2766" i="2"/>
  <c r="F2743" i="2"/>
  <c r="F2730" i="2"/>
  <c r="F2707" i="2"/>
  <c r="F2694" i="2"/>
  <c r="F2671" i="2"/>
  <c r="F2658" i="2"/>
  <c r="F2635" i="2"/>
  <c r="F2622" i="2"/>
  <c r="F2599" i="2"/>
  <c r="F2586" i="2"/>
  <c r="F2877" i="2"/>
  <c r="F2854" i="2"/>
  <c r="F2841" i="2"/>
  <c r="F2818" i="2"/>
  <c r="F2805" i="2"/>
  <c r="F2782" i="2"/>
  <c r="F2769" i="2"/>
  <c r="F2746" i="2"/>
  <c r="F2733" i="2"/>
  <c r="F2710" i="2"/>
  <c r="F2697" i="2"/>
  <c r="F2674" i="2"/>
  <c r="F2661" i="2"/>
  <c r="F2638" i="2"/>
  <c r="F2625" i="2"/>
  <c r="F2602" i="2"/>
  <c r="F2589" i="2"/>
  <c r="F2566" i="2"/>
  <c r="F2563" i="2"/>
  <c r="F2560" i="2"/>
  <c r="F2557" i="2"/>
  <c r="F2554" i="2"/>
  <c r="F2551" i="2"/>
  <c r="F2548" i="2"/>
  <c r="F2545" i="2"/>
  <c r="F2542" i="2"/>
  <c r="F2539" i="2"/>
  <c r="F2536" i="2"/>
  <c r="F2533" i="2"/>
  <c r="F2530" i="2"/>
  <c r="F2527" i="2"/>
  <c r="F2524" i="2"/>
  <c r="F2521" i="2"/>
  <c r="F2518" i="2"/>
  <c r="F2515" i="2"/>
  <c r="F2512" i="2"/>
  <c r="F2509" i="2"/>
  <c r="F2506" i="2"/>
  <c r="F2503" i="2"/>
  <c r="F2500" i="2"/>
  <c r="F2497" i="2"/>
  <c r="F2494" i="2"/>
  <c r="F2491" i="2"/>
  <c r="F2488" i="2"/>
  <c r="F2485" i="2"/>
  <c r="F2482" i="2"/>
  <c r="F2479" i="2"/>
  <c r="F2476" i="2"/>
  <c r="F2473" i="2"/>
  <c r="F2470" i="2"/>
  <c r="F2860" i="2"/>
  <c r="F2847" i="2"/>
  <c r="F2824" i="2"/>
  <c r="F2811" i="2"/>
  <c r="F2788" i="2"/>
  <c r="F2775" i="2"/>
  <c r="F2752" i="2"/>
  <c r="F2739" i="2"/>
  <c r="F2716" i="2"/>
  <c r="F2703" i="2"/>
  <c r="F2680" i="2"/>
  <c r="F2667" i="2"/>
  <c r="F2644" i="2"/>
  <c r="F2631" i="2"/>
  <c r="F2608" i="2"/>
  <c r="F2595" i="2"/>
  <c r="F2572" i="2"/>
  <c r="F2863" i="2"/>
  <c r="F2850" i="2"/>
  <c r="F2827" i="2"/>
  <c r="F2814" i="2"/>
  <c r="F2791" i="2"/>
  <c r="F2778" i="2"/>
  <c r="F2755" i="2"/>
  <c r="F2742" i="2"/>
  <c r="F2719" i="2"/>
  <c r="F2706" i="2"/>
  <c r="F2683" i="2"/>
  <c r="F2670" i="2"/>
  <c r="F2647" i="2"/>
  <c r="F2634" i="2"/>
  <c r="F2611" i="2"/>
  <c r="F2598" i="2"/>
  <c r="F2575" i="2"/>
  <c r="F2857" i="2"/>
  <c r="F2808" i="2"/>
  <c r="F2785" i="2"/>
  <c r="F2853" i="2"/>
  <c r="F2796" i="2"/>
  <c r="F2781" i="2"/>
  <c r="F2724" i="2"/>
  <c r="F2709" i="2"/>
  <c r="F2652" i="2"/>
  <c r="F2637" i="2"/>
  <c r="F2845" i="2"/>
  <c r="F2830" i="2"/>
  <c r="F2773" i="2"/>
  <c r="F2758" i="2"/>
  <c r="F2701" i="2"/>
  <c r="F2686" i="2"/>
  <c r="F2629" i="2"/>
  <c r="F2614" i="2"/>
  <c r="F2461" i="2"/>
  <c r="F2448" i="2"/>
  <c r="F2425" i="2"/>
  <c r="F2412" i="2"/>
  <c r="F2550" i="2"/>
  <c r="F2532" i="2"/>
  <c r="F2514" i="2"/>
  <c r="F2496" i="2"/>
  <c r="F2478" i="2"/>
  <c r="F2464" i="2"/>
  <c r="F2553" i="2"/>
  <c r="F2535" i="2"/>
  <c r="F2517" i="2"/>
  <c r="F2499" i="2"/>
  <c r="F2481" i="2"/>
  <c r="F2844" i="2"/>
  <c r="F2821" i="2"/>
  <c r="F2772" i="2"/>
  <c r="F2749" i="2"/>
  <c r="F2832" i="2"/>
  <c r="F2817" i="2"/>
  <c r="F2760" i="2"/>
  <c r="F2745" i="2"/>
  <c r="F2688" i="2"/>
  <c r="F2673" i="2"/>
  <c r="F2616" i="2"/>
  <c r="F2601" i="2"/>
  <c r="F2556" i="2"/>
  <c r="F2538" i="2"/>
  <c r="F2520" i="2"/>
  <c r="F2809" i="2"/>
  <c r="F2794" i="2"/>
  <c r="F2737" i="2"/>
  <c r="F2722" i="2"/>
  <c r="F2665" i="2"/>
  <c r="F2650" i="2"/>
  <c r="F2593" i="2"/>
  <c r="F2578" i="2"/>
  <c r="F2466" i="2"/>
  <c r="F2443" i="2"/>
  <c r="F2430" i="2"/>
  <c r="F2559" i="2"/>
  <c r="F2541" i="2"/>
  <c r="F2523" i="2"/>
  <c r="F2505" i="2"/>
  <c r="F2487" i="2"/>
  <c r="F2469" i="2"/>
  <c r="F2446" i="2"/>
  <c r="F2433" i="2"/>
  <c r="F2410" i="2"/>
  <c r="F2407" i="2"/>
  <c r="F2404" i="2"/>
  <c r="F2401" i="2"/>
  <c r="F2398" i="2"/>
  <c r="F2395" i="2"/>
  <c r="F2392" i="2"/>
  <c r="F2389" i="2"/>
  <c r="F2386" i="2"/>
  <c r="F2383" i="2"/>
  <c r="F2380" i="2"/>
  <c r="F2377" i="2"/>
  <c r="F2374" i="2"/>
  <c r="F2371" i="2"/>
  <c r="F2368" i="2"/>
  <c r="F2365" i="2"/>
  <c r="F2362" i="2"/>
  <c r="F2359" i="2"/>
  <c r="F2356" i="2"/>
  <c r="F2353" i="2"/>
  <c r="F2350" i="2"/>
  <c r="F2347" i="2"/>
  <c r="F2344" i="2"/>
  <c r="F2341" i="2"/>
  <c r="F2338" i="2"/>
  <c r="F2335" i="2"/>
  <c r="F2332" i="2"/>
  <c r="F2329" i="2"/>
  <c r="F2326" i="2"/>
  <c r="F2323" i="2"/>
  <c r="F2320" i="2"/>
  <c r="F2317" i="2"/>
  <c r="F2314" i="2"/>
  <c r="F2311" i="2"/>
  <c r="F2308" i="2"/>
  <c r="F2305" i="2"/>
  <c r="F2302" i="2"/>
  <c r="F2299" i="2"/>
  <c r="F2296" i="2"/>
  <c r="F2293" i="2"/>
  <c r="F2290" i="2"/>
  <c r="F2287" i="2"/>
  <c r="F2284" i="2"/>
  <c r="F2281" i="2"/>
  <c r="F2278" i="2"/>
  <c r="F2275" i="2"/>
  <c r="F2272" i="2"/>
  <c r="F2269" i="2"/>
  <c r="F2266" i="2"/>
  <c r="F2263" i="2"/>
  <c r="F2260" i="2"/>
  <c r="F2257" i="2"/>
  <c r="F2254" i="2"/>
  <c r="F2251" i="2"/>
  <c r="F2248" i="2"/>
  <c r="F2245" i="2"/>
  <c r="F2242" i="2"/>
  <c r="F2239" i="2"/>
  <c r="F2236" i="2"/>
  <c r="F2233" i="2"/>
  <c r="F2230" i="2"/>
  <c r="F2227" i="2"/>
  <c r="F2224" i="2"/>
  <c r="F2221" i="2"/>
  <c r="F2218" i="2"/>
  <c r="F2215" i="2"/>
  <c r="F2212" i="2"/>
  <c r="F2209" i="2"/>
  <c r="F2206" i="2"/>
  <c r="F2203" i="2"/>
  <c r="F2200" i="2"/>
  <c r="F2197" i="2"/>
  <c r="F2194" i="2"/>
  <c r="F2191" i="2"/>
  <c r="F2188" i="2"/>
  <c r="F2185" i="2"/>
  <c r="F2182" i="2"/>
  <c r="F2179" i="2"/>
  <c r="F2176" i="2"/>
  <c r="F2173" i="2"/>
  <c r="F2170" i="2"/>
  <c r="F2167" i="2"/>
  <c r="F2164" i="2"/>
  <c r="F2161" i="2"/>
  <c r="F2158" i="2"/>
  <c r="F2155" i="2"/>
  <c r="F2152" i="2"/>
  <c r="F2149" i="2"/>
  <c r="F2146" i="2"/>
  <c r="F2143" i="2"/>
  <c r="F2140" i="2"/>
  <c r="F2137" i="2"/>
  <c r="F2134" i="2"/>
  <c r="F2131" i="2"/>
  <c r="F2128" i="2"/>
  <c r="F2125" i="2"/>
  <c r="F2122" i="2"/>
  <c r="F2119" i="2"/>
  <c r="F2116" i="2"/>
  <c r="F2113" i="2"/>
  <c r="F2110" i="2"/>
  <c r="F2107" i="2"/>
  <c r="F2104" i="2"/>
  <c r="F2101" i="2"/>
  <c r="F2098" i="2"/>
  <c r="F2095" i="2"/>
  <c r="F2092" i="2"/>
  <c r="F2089" i="2"/>
  <c r="F2086" i="2"/>
  <c r="F2083" i="2"/>
  <c r="F2080" i="2"/>
  <c r="F2077" i="2"/>
  <c r="F2074" i="2"/>
  <c r="F2071" i="2"/>
  <c r="F2068" i="2"/>
  <c r="F2065" i="2"/>
  <c r="F2062" i="2"/>
  <c r="F2059" i="2"/>
  <c r="F2056" i="2"/>
  <c r="F2053" i="2"/>
  <c r="F2050" i="2"/>
  <c r="F2047" i="2"/>
  <c r="F2044" i="2"/>
  <c r="F2041" i="2"/>
  <c r="F2038" i="2"/>
  <c r="F2035" i="2"/>
  <c r="F2032" i="2"/>
  <c r="F2029" i="2"/>
  <c r="F2026" i="2"/>
  <c r="F2023" i="2"/>
  <c r="F2020" i="2"/>
  <c r="F2017" i="2"/>
  <c r="F2014" i="2"/>
  <c r="F2011" i="2"/>
  <c r="F2008" i="2"/>
  <c r="F2005" i="2"/>
  <c r="F2002" i="2"/>
  <c r="F1999" i="2"/>
  <c r="F1996" i="2"/>
  <c r="F1993" i="2"/>
  <c r="F1990" i="2"/>
  <c r="F1987" i="2"/>
  <c r="F1984" i="2"/>
  <c r="F1981" i="2"/>
  <c r="F1978" i="2"/>
  <c r="F1975" i="2"/>
  <c r="F1972" i="2"/>
  <c r="F1969" i="2"/>
  <c r="F1966" i="2"/>
  <c r="F1963" i="2"/>
  <c r="F1960" i="2"/>
  <c r="F1957" i="2"/>
  <c r="F1954" i="2"/>
  <c r="F1951" i="2"/>
  <c r="F1948" i="2"/>
  <c r="F1945" i="2"/>
  <c r="F1942" i="2"/>
  <c r="F1939" i="2"/>
  <c r="F1936" i="2"/>
  <c r="F1933" i="2"/>
  <c r="F1930" i="2"/>
  <c r="F1927" i="2"/>
  <c r="F2580" i="2"/>
  <c r="F2455" i="2"/>
  <c r="F2431" i="2"/>
  <c r="F2424" i="2"/>
  <c r="F2394" i="2"/>
  <c r="F2381" i="2"/>
  <c r="F2358" i="2"/>
  <c r="F2345" i="2"/>
  <c r="F2322" i="2"/>
  <c r="F2309" i="2"/>
  <c r="F2286" i="2"/>
  <c r="F2273" i="2"/>
  <c r="F2250" i="2"/>
  <c r="F2237" i="2"/>
  <c r="F2214" i="2"/>
  <c r="F2201" i="2"/>
  <c r="F2178" i="2"/>
  <c r="F2165" i="2"/>
  <c r="F2142" i="2"/>
  <c r="F2129" i="2"/>
  <c r="F2106" i="2"/>
  <c r="F2093" i="2"/>
  <c r="F2070" i="2"/>
  <c r="F2057" i="2"/>
  <c r="F2034" i="2"/>
  <c r="F2021" i="2"/>
  <c r="F1998" i="2"/>
  <c r="F1985" i="2"/>
  <c r="F1962" i="2"/>
  <c r="F1949" i="2"/>
  <c r="F1926" i="2"/>
  <c r="F1923" i="2"/>
  <c r="F1920" i="2"/>
  <c r="F1917" i="2"/>
  <c r="F1914" i="2"/>
  <c r="F1911" i="2"/>
  <c r="F1908" i="2"/>
  <c r="F1905" i="2"/>
  <c r="F1902" i="2"/>
  <c r="F1899" i="2"/>
  <c r="F1896" i="2"/>
  <c r="F1893" i="2"/>
  <c r="F1890" i="2"/>
  <c r="F1887" i="2"/>
  <c r="F1884" i="2"/>
  <c r="F1881" i="2"/>
  <c r="F1878" i="2"/>
  <c r="F1875" i="2"/>
  <c r="F1872" i="2"/>
  <c r="F1869" i="2"/>
  <c r="F1866" i="2"/>
  <c r="F1863" i="2"/>
  <c r="F1860" i="2"/>
  <c r="F1857" i="2"/>
  <c r="F1854" i="2"/>
  <c r="F1851" i="2"/>
  <c r="F1848" i="2"/>
  <c r="F1845" i="2"/>
  <c r="F1842" i="2"/>
  <c r="F1839" i="2"/>
  <c r="F1836" i="2"/>
  <c r="F1833" i="2"/>
  <c r="F1830" i="2"/>
  <c r="F1827" i="2"/>
  <c r="F1824" i="2"/>
  <c r="F1821" i="2"/>
  <c r="F1818" i="2"/>
  <c r="F1815" i="2"/>
  <c r="F1812" i="2"/>
  <c r="F1809" i="2"/>
  <c r="F1806" i="2"/>
  <c r="F1803" i="2"/>
  <c r="F1800" i="2"/>
  <c r="F1797" i="2"/>
  <c r="F1794" i="2"/>
  <c r="F1791" i="2"/>
  <c r="F1788" i="2"/>
  <c r="F1785" i="2"/>
  <c r="F1782" i="2"/>
  <c r="F1779" i="2"/>
  <c r="F1776" i="2"/>
  <c r="F1773" i="2"/>
  <c r="F1770" i="2"/>
  <c r="F1767" i="2"/>
  <c r="F1764" i="2"/>
  <c r="F1761" i="2"/>
  <c r="F1758" i="2"/>
  <c r="F1755" i="2"/>
  <c r="F1752" i="2"/>
  <c r="F1749" i="2"/>
  <c r="F1746" i="2"/>
  <c r="F1743" i="2"/>
  <c r="F1740" i="2"/>
  <c r="F1737" i="2"/>
  <c r="F1734" i="2"/>
  <c r="F1731" i="2"/>
  <c r="F1728" i="2"/>
  <c r="F1725" i="2"/>
  <c r="F1722" i="2"/>
  <c r="F1719" i="2"/>
  <c r="F1716" i="2"/>
  <c r="F1713" i="2"/>
  <c r="F1710" i="2"/>
  <c r="F1707" i="2"/>
  <c r="F1704" i="2"/>
  <c r="F1701" i="2"/>
  <c r="F1698" i="2"/>
  <c r="F1695" i="2"/>
  <c r="F1692" i="2"/>
  <c r="F1689" i="2"/>
  <c r="F1686" i="2"/>
  <c r="F1683" i="2"/>
  <c r="F1680" i="2"/>
  <c r="F1677" i="2"/>
  <c r="F1674" i="2"/>
  <c r="F1671" i="2"/>
  <c r="F1668" i="2"/>
  <c r="F1665" i="2"/>
  <c r="F1662" i="2"/>
  <c r="F1659" i="2"/>
  <c r="F1656" i="2"/>
  <c r="F1653" i="2"/>
  <c r="F1650" i="2"/>
  <c r="F1647" i="2"/>
  <c r="F1644" i="2"/>
  <c r="F1641" i="2"/>
  <c r="F1638" i="2"/>
  <c r="F1635" i="2"/>
  <c r="F1632" i="2"/>
  <c r="F1629" i="2"/>
  <c r="F1626" i="2"/>
  <c r="F1623" i="2"/>
  <c r="F1620" i="2"/>
  <c r="F1617" i="2"/>
  <c r="F1614" i="2"/>
  <c r="F1611" i="2"/>
  <c r="F1608" i="2"/>
  <c r="F1605" i="2"/>
  <c r="F1602" i="2"/>
  <c r="F1599" i="2"/>
  <c r="F1596" i="2"/>
  <c r="F1593" i="2"/>
  <c r="F1590" i="2"/>
  <c r="F1587" i="2"/>
  <c r="F1584" i="2"/>
  <c r="F1581" i="2"/>
  <c r="F1578" i="2"/>
  <c r="F1575" i="2"/>
  <c r="F1572" i="2"/>
  <c r="F1569" i="2"/>
  <c r="F1566" i="2"/>
  <c r="F1563" i="2"/>
  <c r="F1560" i="2"/>
  <c r="F1557" i="2"/>
  <c r="F1554" i="2"/>
  <c r="F1551" i="2"/>
  <c r="F2713" i="2"/>
  <c r="F2526" i="2"/>
  <c r="F2484" i="2"/>
  <c r="F2458" i="2"/>
  <c r="F2397" i="2"/>
  <c r="F2384" i="2"/>
  <c r="F2361" i="2"/>
  <c r="F2348" i="2"/>
  <c r="F2325" i="2"/>
  <c r="F2312" i="2"/>
  <c r="F2289" i="2"/>
  <c r="F2276" i="2"/>
  <c r="F2253" i="2"/>
  <c r="F2240" i="2"/>
  <c r="F2434" i="2"/>
  <c r="F2427" i="2"/>
  <c r="F2400" i="2"/>
  <c r="F2387" i="2"/>
  <c r="F2364" i="2"/>
  <c r="F2351" i="2"/>
  <c r="F2328" i="2"/>
  <c r="F2315" i="2"/>
  <c r="F2292" i="2"/>
  <c r="F2279" i="2"/>
  <c r="F2256" i="2"/>
  <c r="F2243" i="2"/>
  <c r="F2220" i="2"/>
  <c r="F2207" i="2"/>
  <c r="F2184" i="2"/>
  <c r="F2171" i="2"/>
  <c r="F2148" i="2"/>
  <c r="F2135" i="2"/>
  <c r="F2112" i="2"/>
  <c r="F2099" i="2"/>
  <c r="F2076" i="2"/>
  <c r="F2063" i="2"/>
  <c r="F2040" i="2"/>
  <c r="F2027" i="2"/>
  <c r="F2004" i="2"/>
  <c r="F1991" i="2"/>
  <c r="F1968" i="2"/>
  <c r="F1955" i="2"/>
  <c r="F1932" i="2"/>
  <c r="F2736" i="2"/>
  <c r="F2677" i="2"/>
  <c r="F2529" i="2"/>
  <c r="F2472" i="2"/>
  <c r="F2451" i="2"/>
  <c r="F2437" i="2"/>
  <c r="F2403" i="2"/>
  <c r="F2390" i="2"/>
  <c r="F2367" i="2"/>
  <c r="F2354" i="2"/>
  <c r="F2331" i="2"/>
  <c r="F2318" i="2"/>
  <c r="F2295" i="2"/>
  <c r="F2282" i="2"/>
  <c r="F2259" i="2"/>
  <c r="F2246" i="2"/>
  <c r="F2223" i="2"/>
  <c r="F2210" i="2"/>
  <c r="F2187" i="2"/>
  <c r="F2174" i="2"/>
  <c r="F2151" i="2"/>
  <c r="F2138" i="2"/>
  <c r="F2115" i="2"/>
  <c r="F2102" i="2"/>
  <c r="F2079" i="2"/>
  <c r="F2066" i="2"/>
  <c r="F2043" i="2"/>
  <c r="F2030" i="2"/>
  <c r="F2007" i="2"/>
  <c r="F1994" i="2"/>
  <c r="F1971" i="2"/>
  <c r="F1958" i="2"/>
  <c r="F1935" i="2"/>
  <c r="F2502" i="2"/>
  <c r="F2454" i="2"/>
  <c r="F2440" i="2"/>
  <c r="F2413" i="2"/>
  <c r="F2406" i="2"/>
  <c r="F2393" i="2"/>
  <c r="F2370" i="2"/>
  <c r="F2357" i="2"/>
  <c r="F2334" i="2"/>
  <c r="F2321" i="2"/>
  <c r="F2298" i="2"/>
  <c r="F2285" i="2"/>
  <c r="F2262" i="2"/>
  <c r="F2249" i="2"/>
  <c r="F2226" i="2"/>
  <c r="F2213" i="2"/>
  <c r="F2190" i="2"/>
  <c r="F2177" i="2"/>
  <c r="F2154" i="2"/>
  <c r="F2141" i="2"/>
  <c r="F2118" i="2"/>
  <c r="F2105" i="2"/>
  <c r="F2082" i="2"/>
  <c r="F2069" i="2"/>
  <c r="F2046" i="2"/>
  <c r="F2033" i="2"/>
  <c r="F2010" i="2"/>
  <c r="F1997" i="2"/>
  <c r="F1974" i="2"/>
  <c r="F1961" i="2"/>
  <c r="F2700" i="2"/>
  <c r="F2641" i="2"/>
  <c r="F2544" i="2"/>
  <c r="F2475" i="2"/>
  <c r="F2457" i="2"/>
  <c r="F2416" i="2"/>
  <c r="F2409" i="2"/>
  <c r="F2396" i="2"/>
  <c r="F2373" i="2"/>
  <c r="F2360" i="2"/>
  <c r="F2337" i="2"/>
  <c r="F2324" i="2"/>
  <c r="F2301" i="2"/>
  <c r="F2288" i="2"/>
  <c r="F2265" i="2"/>
  <c r="F2252" i="2"/>
  <c r="F2229" i="2"/>
  <c r="F2216" i="2"/>
  <c r="F2193" i="2"/>
  <c r="F2180" i="2"/>
  <c r="F2157" i="2"/>
  <c r="F2144" i="2"/>
  <c r="F2121" i="2"/>
  <c r="F2108" i="2"/>
  <c r="F2085" i="2"/>
  <c r="F2072" i="2"/>
  <c r="F2049" i="2"/>
  <c r="F2490" i="2"/>
  <c r="F2460" i="2"/>
  <c r="F2419" i="2"/>
  <c r="F2399" i="2"/>
  <c r="F2376" i="2"/>
  <c r="F2363" i="2"/>
  <c r="F2340" i="2"/>
  <c r="F2327" i="2"/>
  <c r="F2304" i="2"/>
  <c r="F2291" i="2"/>
  <c r="F2268" i="2"/>
  <c r="F2255" i="2"/>
  <c r="F2232" i="2"/>
  <c r="F2219" i="2"/>
  <c r="F2196" i="2"/>
  <c r="F2183" i="2"/>
  <c r="F2160" i="2"/>
  <c r="F2147" i="2"/>
  <c r="F2124" i="2"/>
  <c r="F2111" i="2"/>
  <c r="F2088" i="2"/>
  <c r="F2075" i="2"/>
  <c r="F2052" i="2"/>
  <c r="F2039" i="2"/>
  <c r="F2016" i="2"/>
  <c r="F2003" i="2"/>
  <c r="F1980" i="2"/>
  <c r="F1967" i="2"/>
  <c r="F1944" i="2"/>
  <c r="F1931" i="2"/>
  <c r="F2664" i="2"/>
  <c r="F2605" i="2"/>
  <c r="F2547" i="2"/>
  <c r="F2467" i="2"/>
  <c r="F2436" i="2"/>
  <c r="F2422" i="2"/>
  <c r="F2402" i="2"/>
  <c r="F2379" i="2"/>
  <c r="F2366" i="2"/>
  <c r="F2343" i="2"/>
  <c r="F2330" i="2"/>
  <c r="F2307" i="2"/>
  <c r="F2294" i="2"/>
  <c r="F2271" i="2"/>
  <c r="F2258" i="2"/>
  <c r="F2235" i="2"/>
  <c r="F2222" i="2"/>
  <c r="F2199" i="2"/>
  <c r="F2186" i="2"/>
  <c r="F2163" i="2"/>
  <c r="F2150" i="2"/>
  <c r="F2127" i="2"/>
  <c r="F2114" i="2"/>
  <c r="F2091" i="2"/>
  <c r="F2078" i="2"/>
  <c r="F2055" i="2"/>
  <c r="F2042" i="2"/>
  <c r="F2019" i="2"/>
  <c r="F2006" i="2"/>
  <c r="F1983" i="2"/>
  <c r="F1970" i="2"/>
  <c r="F1947" i="2"/>
  <c r="F1934" i="2"/>
  <c r="F2493" i="2"/>
  <c r="F2463" i="2"/>
  <c r="F2439" i="2"/>
  <c r="F2405" i="2"/>
  <c r="F2382" i="2"/>
  <c r="F2369" i="2"/>
  <c r="F2346" i="2"/>
  <c r="F2333" i="2"/>
  <c r="F2310" i="2"/>
  <c r="F2297" i="2"/>
  <c r="F2274" i="2"/>
  <c r="F2261" i="2"/>
  <c r="F2238" i="2"/>
  <c r="F2225" i="2"/>
  <c r="F2202" i="2"/>
  <c r="F2189" i="2"/>
  <c r="F2166" i="2"/>
  <c r="F2153" i="2"/>
  <c r="F2130" i="2"/>
  <c r="F2117" i="2"/>
  <c r="F2094" i="2"/>
  <c r="F2081" i="2"/>
  <c r="F2058" i="2"/>
  <c r="F2045" i="2"/>
  <c r="F2022" i="2"/>
  <c r="F2009" i="2"/>
  <c r="F1986" i="2"/>
  <c r="F1973" i="2"/>
  <c r="F1950" i="2"/>
  <c r="F1937" i="2"/>
  <c r="F1924" i="2"/>
  <c r="F1921" i="2"/>
  <c r="F1918" i="2"/>
  <c r="F1915" i="2"/>
  <c r="F1912" i="2"/>
  <c r="F1909" i="2"/>
  <c r="F1906" i="2"/>
  <c r="F1903" i="2"/>
  <c r="F1900" i="2"/>
  <c r="F1897" i="2"/>
  <c r="F1894" i="2"/>
  <c r="F1891" i="2"/>
  <c r="F1888" i="2"/>
  <c r="F1885" i="2"/>
  <c r="F1882" i="2"/>
  <c r="F1879" i="2"/>
  <c r="F1876" i="2"/>
  <c r="F1873" i="2"/>
  <c r="F1870" i="2"/>
  <c r="F1867" i="2"/>
  <c r="F1864" i="2"/>
  <c r="F1861" i="2"/>
  <c r="F1858" i="2"/>
  <c r="F1855" i="2"/>
  <c r="F1852" i="2"/>
  <c r="F1849" i="2"/>
  <c r="F1846" i="2"/>
  <c r="F1843" i="2"/>
  <c r="F1840" i="2"/>
  <c r="F1837" i="2"/>
  <c r="F1834" i="2"/>
  <c r="F1831" i="2"/>
  <c r="F1828" i="2"/>
  <c r="F1825" i="2"/>
  <c r="F1822" i="2"/>
  <c r="F1819" i="2"/>
  <c r="F1816" i="2"/>
  <c r="F1813" i="2"/>
  <c r="F1810" i="2"/>
  <c r="F1807" i="2"/>
  <c r="F1804" i="2"/>
  <c r="F1801" i="2"/>
  <c r="F1798" i="2"/>
  <c r="F1795" i="2"/>
  <c r="F1792" i="2"/>
  <c r="F1789" i="2"/>
  <c r="F1786" i="2"/>
  <c r="F1783" i="2"/>
  <c r="F1780" i="2"/>
  <c r="F1777" i="2"/>
  <c r="F1774" i="2"/>
  <c r="F1771" i="2"/>
  <c r="F1768" i="2"/>
  <c r="F1765" i="2"/>
  <c r="F1762" i="2"/>
  <c r="F2592" i="2"/>
  <c r="F2565" i="2"/>
  <c r="F2511" i="2"/>
  <c r="F2452" i="2"/>
  <c r="F2445" i="2"/>
  <c r="F2421" i="2"/>
  <c r="F2391" i="2"/>
  <c r="F2378" i="2"/>
  <c r="F2355" i="2"/>
  <c r="F2342" i="2"/>
  <c r="F2319" i="2"/>
  <c r="F2306" i="2"/>
  <c r="F2283" i="2"/>
  <c r="F2270" i="2"/>
  <c r="F2247" i="2"/>
  <c r="F2408" i="2"/>
  <c r="F2300" i="2"/>
  <c r="F2208" i="2"/>
  <c r="F2100" i="2"/>
  <c r="F2015" i="2"/>
  <c r="F1982" i="2"/>
  <c r="F1913" i="2"/>
  <c r="F1895" i="2"/>
  <c r="F1877" i="2"/>
  <c r="F1859" i="2"/>
  <c r="F1841" i="2"/>
  <c r="F1823" i="2"/>
  <c r="F1805" i="2"/>
  <c r="F1787" i="2"/>
  <c r="F1769" i="2"/>
  <c r="F1742" i="2"/>
  <c r="F1729" i="2"/>
  <c r="F1706" i="2"/>
  <c r="F1693" i="2"/>
  <c r="F1670" i="2"/>
  <c r="F1657" i="2"/>
  <c r="F1634" i="2"/>
  <c r="F1621" i="2"/>
  <c r="F1598" i="2"/>
  <c r="F2569" i="2"/>
  <c r="F2388" i="2"/>
  <c r="F2280" i="2"/>
  <c r="F2234" i="2"/>
  <c r="F2156" i="2"/>
  <c r="F2126" i="2"/>
  <c r="F2048" i="2"/>
  <c r="F2000" i="2"/>
  <c r="F1989" i="2"/>
  <c r="F1956" i="2"/>
  <c r="F1745" i="2"/>
  <c r="F1732" i="2"/>
  <c r="F1709" i="2"/>
  <c r="F1696" i="2"/>
  <c r="F1673" i="2"/>
  <c r="F1660" i="2"/>
  <c r="F2442" i="2"/>
  <c r="F2415" i="2"/>
  <c r="F2303" i="2"/>
  <c r="F2211" i="2"/>
  <c r="F2204" i="2"/>
  <c r="F2133" i="2"/>
  <c r="F2103" i="2"/>
  <c r="F2096" i="2"/>
  <c r="F2018" i="2"/>
  <c r="F1938" i="2"/>
  <c r="F1916" i="2"/>
  <c r="F1898" i="2"/>
  <c r="F1880" i="2"/>
  <c r="F1862" i="2"/>
  <c r="F1844" i="2"/>
  <c r="F1826" i="2"/>
  <c r="F1808" i="2"/>
  <c r="F1790" i="2"/>
  <c r="F1772" i="2"/>
  <c r="F1748" i="2"/>
  <c r="F1735" i="2"/>
  <c r="F1712" i="2"/>
  <c r="F1699" i="2"/>
  <c r="F1676" i="2"/>
  <c r="F1663" i="2"/>
  <c r="F1640" i="2"/>
  <c r="F1627" i="2"/>
  <c r="F1604" i="2"/>
  <c r="F1591" i="2"/>
  <c r="F1568" i="2"/>
  <c r="F1555" i="2"/>
  <c r="F2628" i="2"/>
  <c r="F2349" i="2"/>
  <c r="F2241" i="2"/>
  <c r="F2181" i="2"/>
  <c r="F2159" i="2"/>
  <c r="F2073" i="2"/>
  <c r="F2051" i="2"/>
  <c r="F2036" i="2"/>
  <c r="F2025" i="2"/>
  <c r="F1992" i="2"/>
  <c r="F1959" i="2"/>
  <c r="F1952" i="2"/>
  <c r="F1941" i="2"/>
  <c r="F1751" i="2"/>
  <c r="F1738" i="2"/>
  <c r="F1715" i="2"/>
  <c r="F1702" i="2"/>
  <c r="F1679" i="2"/>
  <c r="F1666" i="2"/>
  <c r="F1643" i="2"/>
  <c r="F1630" i="2"/>
  <c r="F2449" i="2"/>
  <c r="F2418" i="2"/>
  <c r="F2372" i="2"/>
  <c r="F2264" i="2"/>
  <c r="F2136" i="2"/>
  <c r="F1919" i="2"/>
  <c r="F1901" i="2"/>
  <c r="F1883" i="2"/>
  <c r="F1865" i="2"/>
  <c r="F1847" i="2"/>
  <c r="F1829" i="2"/>
  <c r="F1811" i="2"/>
  <c r="F1793" i="2"/>
  <c r="F1775" i="2"/>
  <c r="F1754" i="2"/>
  <c r="F1741" i="2"/>
  <c r="F1718" i="2"/>
  <c r="F1705" i="2"/>
  <c r="F1682" i="2"/>
  <c r="F1669" i="2"/>
  <c r="F1646" i="2"/>
  <c r="F1633" i="2"/>
  <c r="F1610" i="2"/>
  <c r="F1597" i="2"/>
  <c r="F1574" i="2"/>
  <c r="F1561" i="2"/>
  <c r="F1548" i="2"/>
  <c r="F1545" i="2"/>
  <c r="F1542" i="2"/>
  <c r="F1539" i="2"/>
  <c r="F1536" i="2"/>
  <c r="F1533" i="2"/>
  <c r="F1530" i="2"/>
  <c r="F1527" i="2"/>
  <c r="F1524" i="2"/>
  <c r="F1521" i="2"/>
  <c r="F1518" i="2"/>
  <c r="F1515" i="2"/>
  <c r="F1512" i="2"/>
  <c r="F1509" i="2"/>
  <c r="F1506" i="2"/>
  <c r="F1503" i="2"/>
  <c r="F1500" i="2"/>
  <c r="F1497" i="2"/>
  <c r="F1494" i="2"/>
  <c r="F1491" i="2"/>
  <c r="F1488" i="2"/>
  <c r="F1485" i="2"/>
  <c r="F1482" i="2"/>
  <c r="F1479" i="2"/>
  <c r="F1476" i="2"/>
  <c r="F1473" i="2"/>
  <c r="F1470" i="2"/>
  <c r="F1467" i="2"/>
  <c r="F1464" i="2"/>
  <c r="F1461" i="2"/>
  <c r="F1458" i="2"/>
  <c r="F1455" i="2"/>
  <c r="F1452" i="2"/>
  <c r="F1449" i="2"/>
  <c r="F1446" i="2"/>
  <c r="F1443" i="2"/>
  <c r="F1440" i="2"/>
  <c r="F1437" i="2"/>
  <c r="F1434" i="2"/>
  <c r="F1431" i="2"/>
  <c r="F1428" i="2"/>
  <c r="F1425" i="2"/>
  <c r="F1422" i="2"/>
  <c r="F1419" i="2"/>
  <c r="F1416" i="2"/>
  <c r="F1413" i="2"/>
  <c r="F1410" i="2"/>
  <c r="F1407" i="2"/>
  <c r="F1404" i="2"/>
  <c r="F1401" i="2"/>
  <c r="F1398" i="2"/>
  <c r="F1395" i="2"/>
  <c r="F1392" i="2"/>
  <c r="F1389" i="2"/>
  <c r="F1386" i="2"/>
  <c r="F1383" i="2"/>
  <c r="F1380" i="2"/>
  <c r="F1377" i="2"/>
  <c r="F1374" i="2"/>
  <c r="F1371" i="2"/>
  <c r="F1368" i="2"/>
  <c r="F1365" i="2"/>
  <c r="F1362" i="2"/>
  <c r="F1359" i="2"/>
  <c r="F1356" i="2"/>
  <c r="F1353" i="2"/>
  <c r="F1350" i="2"/>
  <c r="F1347" i="2"/>
  <c r="F1344" i="2"/>
  <c r="F1341" i="2"/>
  <c r="F1338" i="2"/>
  <c r="F1335" i="2"/>
  <c r="F1332" i="2"/>
  <c r="F1329" i="2"/>
  <c r="F1326" i="2"/>
  <c r="F1323" i="2"/>
  <c r="F1320" i="2"/>
  <c r="F1317" i="2"/>
  <c r="F1314" i="2"/>
  <c r="F1311" i="2"/>
  <c r="F1308" i="2"/>
  <c r="F1305" i="2"/>
  <c r="F1302" i="2"/>
  <c r="F1299" i="2"/>
  <c r="F1296" i="2"/>
  <c r="F1293" i="2"/>
  <c r="F1290" i="2"/>
  <c r="F1287" i="2"/>
  <c r="F1284" i="2"/>
  <c r="F1281" i="2"/>
  <c r="F1278" i="2"/>
  <c r="F1275" i="2"/>
  <c r="F1272" i="2"/>
  <c r="F1269" i="2"/>
  <c r="F1266" i="2"/>
  <c r="F1263" i="2"/>
  <c r="F1260" i="2"/>
  <c r="F1257" i="2"/>
  <c r="F1254" i="2"/>
  <c r="F1251" i="2"/>
  <c r="F1248" i="2"/>
  <c r="F1245" i="2"/>
  <c r="F1242" i="2"/>
  <c r="F1239" i="2"/>
  <c r="F1236" i="2"/>
  <c r="F1233" i="2"/>
  <c r="F1230" i="2"/>
  <c r="F1227" i="2"/>
  <c r="F1224" i="2"/>
  <c r="F1221" i="2"/>
  <c r="F1218" i="2"/>
  <c r="F1215" i="2"/>
  <c r="F1212" i="2"/>
  <c r="F1209" i="2"/>
  <c r="F1206" i="2"/>
  <c r="F1203" i="2"/>
  <c r="F1200" i="2"/>
  <c r="F1197" i="2"/>
  <c r="F1194" i="2"/>
  <c r="F1191" i="2"/>
  <c r="F1188" i="2"/>
  <c r="F1185" i="2"/>
  <c r="F1182" i="2"/>
  <c r="F1179" i="2"/>
  <c r="F1176" i="2"/>
  <c r="F1173" i="2"/>
  <c r="F1170" i="2"/>
  <c r="F1167" i="2"/>
  <c r="F1164" i="2"/>
  <c r="F1161" i="2"/>
  <c r="F1158" i="2"/>
  <c r="F1155" i="2"/>
  <c r="F1152" i="2"/>
  <c r="F1149" i="2"/>
  <c r="F1146" i="2"/>
  <c r="F1143" i="2"/>
  <c r="F1140" i="2"/>
  <c r="F1137" i="2"/>
  <c r="F1134" i="2"/>
  <c r="F1131" i="2"/>
  <c r="F1128" i="2"/>
  <c r="F1125" i="2"/>
  <c r="F1122" i="2"/>
  <c r="F1119" i="2"/>
  <c r="F2352" i="2"/>
  <c r="F2244" i="2"/>
  <c r="F2192" i="2"/>
  <c r="F2162" i="2"/>
  <c r="F2084" i="2"/>
  <c r="F2054" i="2"/>
  <c r="F2028" i="2"/>
  <c r="F1995" i="2"/>
  <c r="F1988" i="2"/>
  <c r="F1977" i="2"/>
  <c r="F1757" i="2"/>
  <c r="F1744" i="2"/>
  <c r="F1721" i="2"/>
  <c r="F1708" i="2"/>
  <c r="F1685" i="2"/>
  <c r="F1672" i="2"/>
  <c r="F1649" i="2"/>
  <c r="F1636" i="2"/>
  <c r="F1613" i="2"/>
  <c r="F2508" i="2"/>
  <c r="F2375" i="2"/>
  <c r="F2267" i="2"/>
  <c r="F2169" i="2"/>
  <c r="F2139" i="2"/>
  <c r="F2132" i="2"/>
  <c r="F2061" i="2"/>
  <c r="F1929" i="2"/>
  <c r="F1922" i="2"/>
  <c r="F1904" i="2"/>
  <c r="F1886" i="2"/>
  <c r="F1868" i="2"/>
  <c r="F1850" i="2"/>
  <c r="F1832" i="2"/>
  <c r="F1814" i="2"/>
  <c r="F1796" i="2"/>
  <c r="F1778" i="2"/>
  <c r="F1760" i="2"/>
  <c r="F1747" i="2"/>
  <c r="F1724" i="2"/>
  <c r="F1711" i="2"/>
  <c r="F1688" i="2"/>
  <c r="F1675" i="2"/>
  <c r="F1652" i="2"/>
  <c r="F1639" i="2"/>
  <c r="F1616" i="2"/>
  <c r="F1603" i="2"/>
  <c r="F1580" i="2"/>
  <c r="F1567" i="2"/>
  <c r="F2313" i="2"/>
  <c r="F2217" i="2"/>
  <c r="F2195" i="2"/>
  <c r="F2109" i="2"/>
  <c r="F2087" i="2"/>
  <c r="F2031" i="2"/>
  <c r="F2024" i="2"/>
  <c r="F2013" i="2"/>
  <c r="F1965" i="2"/>
  <c r="F1940" i="2"/>
  <c r="F1750" i="2"/>
  <c r="F1727" i="2"/>
  <c r="F1714" i="2"/>
  <c r="F1691" i="2"/>
  <c r="F1678" i="2"/>
  <c r="F2336" i="2"/>
  <c r="F2172" i="2"/>
  <c r="F2064" i="2"/>
  <c r="F1943" i="2"/>
  <c r="F1925" i="2"/>
  <c r="F1907" i="2"/>
  <c r="F1889" i="2"/>
  <c r="F1871" i="2"/>
  <c r="F1853" i="2"/>
  <c r="F1835" i="2"/>
  <c r="F1817" i="2"/>
  <c r="F1799" i="2"/>
  <c r="F1781" i="2"/>
  <c r="F1763" i="2"/>
  <c r="F1753" i="2"/>
  <c r="F1730" i="2"/>
  <c r="F1717" i="2"/>
  <c r="F1694" i="2"/>
  <c r="F1681" i="2"/>
  <c r="F1658" i="2"/>
  <c r="F1645" i="2"/>
  <c r="F1622" i="2"/>
  <c r="F1609" i="2"/>
  <c r="F1586" i="2"/>
  <c r="F1573" i="2"/>
  <c r="F1550" i="2"/>
  <c r="F1547" i="2"/>
  <c r="F1544" i="2"/>
  <c r="F1541" i="2"/>
  <c r="F1538" i="2"/>
  <c r="F1535" i="2"/>
  <c r="F1532" i="2"/>
  <c r="F1529" i="2"/>
  <c r="F1526" i="2"/>
  <c r="F1523" i="2"/>
  <c r="F1520" i="2"/>
  <c r="F1517" i="2"/>
  <c r="F2562" i="2"/>
  <c r="F2385" i="2"/>
  <c r="F2277" i="2"/>
  <c r="F2231" i="2"/>
  <c r="F2145" i="2"/>
  <c r="F2123" i="2"/>
  <c r="F2037" i="2"/>
  <c r="F2012" i="2"/>
  <c r="F1964" i="2"/>
  <c r="F1953" i="2"/>
  <c r="F1739" i="2"/>
  <c r="F1726" i="2"/>
  <c r="F1703" i="2"/>
  <c r="F1690" i="2"/>
  <c r="F1667" i="2"/>
  <c r="F1654" i="2"/>
  <c r="F1631" i="2"/>
  <c r="F1618" i="2"/>
  <c r="F2175" i="2"/>
  <c r="F1856" i="2"/>
  <c r="F1700" i="2"/>
  <c r="F1606" i="2"/>
  <c r="F1595" i="2"/>
  <c r="F1514" i="2"/>
  <c r="F1501" i="2"/>
  <c r="F1478" i="2"/>
  <c r="F1465" i="2"/>
  <c r="F1442" i="2"/>
  <c r="F1429" i="2"/>
  <c r="F1406" i="2"/>
  <c r="F1393" i="2"/>
  <c r="F1370" i="2"/>
  <c r="F1357" i="2"/>
  <c r="F1334" i="2"/>
  <c r="F1321" i="2"/>
  <c r="F1298" i="2"/>
  <c r="F1285" i="2"/>
  <c r="F1262" i="2"/>
  <c r="F1249" i="2"/>
  <c r="F1226" i="2"/>
  <c r="F1213" i="2"/>
  <c r="F1190" i="2"/>
  <c r="F1177" i="2"/>
  <c r="F1154" i="2"/>
  <c r="F1141" i="2"/>
  <c r="F1118" i="2"/>
  <c r="F1115" i="2"/>
  <c r="F1112" i="2"/>
  <c r="F1109" i="2"/>
  <c r="F1106" i="2"/>
  <c r="F1103" i="2"/>
  <c r="F1100" i="2"/>
  <c r="F1097" i="2"/>
  <c r="F1094" i="2"/>
  <c r="F1091" i="2"/>
  <c r="F1088" i="2"/>
  <c r="F1085" i="2"/>
  <c r="F1082" i="2"/>
  <c r="F1079" i="2"/>
  <c r="F1076" i="2"/>
  <c r="F1073" i="2"/>
  <c r="F1070" i="2"/>
  <c r="F1067" i="2"/>
  <c r="F1064" i="2"/>
  <c r="F1061" i="2"/>
  <c r="F1058" i="2"/>
  <c r="F1055" i="2"/>
  <c r="F1052" i="2"/>
  <c r="F1049" i="2"/>
  <c r="F1046" i="2"/>
  <c r="F1043" i="2"/>
  <c r="F1040" i="2"/>
  <c r="F1037" i="2"/>
  <c r="F1034" i="2"/>
  <c r="F1031" i="2"/>
  <c r="F1028" i="2"/>
  <c r="F1025" i="2"/>
  <c r="F1022" i="2"/>
  <c r="F1019" i="2"/>
  <c r="F1016" i="2"/>
  <c r="F1013" i="2"/>
  <c r="F1010" i="2"/>
  <c r="F1007" i="2"/>
  <c r="F1004" i="2"/>
  <c r="F1001" i="2"/>
  <c r="F998" i="2"/>
  <c r="F995" i="2"/>
  <c r="F992" i="2"/>
  <c r="F989" i="2"/>
  <c r="F986" i="2"/>
  <c r="F983" i="2"/>
  <c r="F980" i="2"/>
  <c r="F977" i="2"/>
  <c r="F974" i="2"/>
  <c r="F971" i="2"/>
  <c r="F968" i="2"/>
  <c r="F965" i="2"/>
  <c r="F962" i="2"/>
  <c r="F959" i="2"/>
  <c r="F956" i="2"/>
  <c r="F953" i="2"/>
  <c r="F950" i="2"/>
  <c r="F947" i="2"/>
  <c r="F944" i="2"/>
  <c r="F941" i="2"/>
  <c r="F938" i="2"/>
  <c r="F935" i="2"/>
  <c r="F932" i="2"/>
  <c r="F929" i="2"/>
  <c r="F926" i="2"/>
  <c r="F923" i="2"/>
  <c r="F920" i="2"/>
  <c r="F917" i="2"/>
  <c r="F914" i="2"/>
  <c r="F911" i="2"/>
  <c r="F908" i="2"/>
  <c r="F905" i="2"/>
  <c r="F902" i="2"/>
  <c r="F899" i="2"/>
  <c r="F896" i="2"/>
  <c r="F893" i="2"/>
  <c r="F890" i="2"/>
  <c r="F887" i="2"/>
  <c r="F884" i="2"/>
  <c r="F881" i="2"/>
  <c r="F878" i="2"/>
  <c r="F875" i="2"/>
  <c r="F872" i="2"/>
  <c r="F869" i="2"/>
  <c r="F2001" i="2"/>
  <c r="F1946" i="2"/>
  <c r="F1723" i="2"/>
  <c r="F1624" i="2"/>
  <c r="F1588" i="2"/>
  <c r="F1553" i="2"/>
  <c r="F1546" i="2"/>
  <c r="F1528" i="2"/>
  <c r="F1504" i="2"/>
  <c r="F1481" i="2"/>
  <c r="F1468" i="2"/>
  <c r="F1445" i="2"/>
  <c r="F1432" i="2"/>
  <c r="F1409" i="2"/>
  <c r="F1396" i="2"/>
  <c r="F1373" i="2"/>
  <c r="F1360" i="2"/>
  <c r="F1337" i="2"/>
  <c r="F1324" i="2"/>
  <c r="F1301" i="2"/>
  <c r="F1288" i="2"/>
  <c r="F1265" i="2"/>
  <c r="F1252" i="2"/>
  <c r="F1229" i="2"/>
  <c r="F1216" i="2"/>
  <c r="F1193" i="2"/>
  <c r="F1180" i="2"/>
  <c r="F1157" i="2"/>
  <c r="F1144" i="2"/>
  <c r="F1121" i="2"/>
  <c r="F2198" i="2"/>
  <c r="F1820" i="2"/>
  <c r="F1661" i="2"/>
  <c r="F1507" i="2"/>
  <c r="F1484" i="2"/>
  <c r="F1471" i="2"/>
  <c r="F1448" i="2"/>
  <c r="F1435" i="2"/>
  <c r="F1412" i="2"/>
  <c r="F1399" i="2"/>
  <c r="F1376" i="2"/>
  <c r="F1363" i="2"/>
  <c r="F1340" i="2"/>
  <c r="F1327" i="2"/>
  <c r="F1304" i="2"/>
  <c r="F1291" i="2"/>
  <c r="F1268" i="2"/>
  <c r="F1255" i="2"/>
  <c r="F1232" i="2"/>
  <c r="F1219" i="2"/>
  <c r="F1196" i="2"/>
  <c r="F1183" i="2"/>
  <c r="F1160" i="2"/>
  <c r="F1147" i="2"/>
  <c r="F1124" i="2"/>
  <c r="F2428" i="2"/>
  <c r="F2060" i="2"/>
  <c r="F1910" i="2"/>
  <c r="F1684" i="2"/>
  <c r="F1642" i="2"/>
  <c r="F1577" i="2"/>
  <c r="F1570" i="2"/>
  <c r="F1556" i="2"/>
  <c r="F1549" i="2"/>
  <c r="F1531" i="2"/>
  <c r="F1510" i="2"/>
  <c r="F1487" i="2"/>
  <c r="F1474" i="2"/>
  <c r="F1451" i="2"/>
  <c r="F1438" i="2"/>
  <c r="F1415" i="2"/>
  <c r="F1402" i="2"/>
  <c r="F1379" i="2"/>
  <c r="F1366" i="2"/>
  <c r="F1343" i="2"/>
  <c r="F1330" i="2"/>
  <c r="F1307" i="2"/>
  <c r="F1294" i="2"/>
  <c r="F1271" i="2"/>
  <c r="F1258" i="2"/>
  <c r="F1235" i="2"/>
  <c r="F1222" i="2"/>
  <c r="F1199" i="2"/>
  <c r="F1186" i="2"/>
  <c r="F1163" i="2"/>
  <c r="F1150" i="2"/>
  <c r="F1127" i="2"/>
  <c r="F2205" i="2"/>
  <c r="F1784" i="2"/>
  <c r="F1664" i="2"/>
  <c r="F1612" i="2"/>
  <c r="F1601" i="2"/>
  <c r="F1594" i="2"/>
  <c r="F1559" i="2"/>
  <c r="F1513" i="2"/>
  <c r="F1490" i="2"/>
  <c r="F1477" i="2"/>
  <c r="F1454" i="2"/>
  <c r="F1441" i="2"/>
  <c r="F1418" i="2"/>
  <c r="F1405" i="2"/>
  <c r="F1382" i="2"/>
  <c r="F1369" i="2"/>
  <c r="F1346" i="2"/>
  <c r="F1333" i="2"/>
  <c r="F1310" i="2"/>
  <c r="F1297" i="2"/>
  <c r="F1274" i="2"/>
  <c r="F1261" i="2"/>
  <c r="F1238" i="2"/>
  <c r="F1225" i="2"/>
  <c r="F1202" i="2"/>
  <c r="F1189" i="2"/>
  <c r="F1166" i="2"/>
  <c r="F1153" i="2"/>
  <c r="F1130" i="2"/>
  <c r="F1117" i="2"/>
  <c r="F1114" i="2"/>
  <c r="F1111" i="2"/>
  <c r="F1108" i="2"/>
  <c r="F1105" i="2"/>
  <c r="F1102" i="2"/>
  <c r="F1099" i="2"/>
  <c r="F1096" i="2"/>
  <c r="F1093" i="2"/>
  <c r="F1090" i="2"/>
  <c r="F1087" i="2"/>
  <c r="F1084" i="2"/>
  <c r="F1081" i="2"/>
  <c r="F1078" i="2"/>
  <c r="F1075" i="2"/>
  <c r="F1072" i="2"/>
  <c r="F1069" i="2"/>
  <c r="F1066" i="2"/>
  <c r="F1063" i="2"/>
  <c r="F1060" i="2"/>
  <c r="F1057" i="2"/>
  <c r="F1054" i="2"/>
  <c r="F1051" i="2"/>
  <c r="F1048" i="2"/>
  <c r="F1045" i="2"/>
  <c r="F1042" i="2"/>
  <c r="F1039" i="2"/>
  <c r="F1036" i="2"/>
  <c r="F1033" i="2"/>
  <c r="F1030" i="2"/>
  <c r="F1027" i="2"/>
  <c r="F1024" i="2"/>
  <c r="F1021" i="2"/>
  <c r="F1018" i="2"/>
  <c r="F1015" i="2"/>
  <c r="F1012" i="2"/>
  <c r="F1009" i="2"/>
  <c r="F1006" i="2"/>
  <c r="F1003" i="2"/>
  <c r="F1000" i="2"/>
  <c r="F997" i="2"/>
  <c r="F994" i="2"/>
  <c r="F991" i="2"/>
  <c r="F988" i="2"/>
  <c r="F985" i="2"/>
  <c r="F982" i="2"/>
  <c r="F979" i="2"/>
  <c r="F976" i="2"/>
  <c r="F973" i="2"/>
  <c r="F970" i="2"/>
  <c r="F967" i="2"/>
  <c r="F964" i="2"/>
  <c r="F961" i="2"/>
  <c r="F958" i="2"/>
  <c r="F955" i="2"/>
  <c r="F952" i="2"/>
  <c r="F949" i="2"/>
  <c r="F946" i="2"/>
  <c r="F943" i="2"/>
  <c r="F940" i="2"/>
  <c r="F937" i="2"/>
  <c r="F934" i="2"/>
  <c r="F931" i="2"/>
  <c r="F928" i="2"/>
  <c r="F925" i="2"/>
  <c r="F922" i="2"/>
  <c r="F919" i="2"/>
  <c r="F916" i="2"/>
  <c r="F913" i="2"/>
  <c r="F910" i="2"/>
  <c r="F907" i="2"/>
  <c r="F904" i="2"/>
  <c r="F901" i="2"/>
  <c r="F898" i="2"/>
  <c r="F895" i="2"/>
  <c r="F892" i="2"/>
  <c r="F889" i="2"/>
  <c r="F886" i="2"/>
  <c r="F883" i="2"/>
  <c r="F880" i="2"/>
  <c r="F877" i="2"/>
  <c r="F874" i="2"/>
  <c r="F871" i="2"/>
  <c r="F868" i="2"/>
  <c r="F865" i="2"/>
  <c r="F862" i="2"/>
  <c r="F859" i="2"/>
  <c r="F856" i="2"/>
  <c r="F853" i="2"/>
  <c r="F850" i="2"/>
  <c r="F847" i="2"/>
  <c r="F844" i="2"/>
  <c r="F841" i="2"/>
  <c r="F838" i="2"/>
  <c r="F835" i="2"/>
  <c r="F832" i="2"/>
  <c r="F829" i="2"/>
  <c r="F826" i="2"/>
  <c r="F823" i="2"/>
  <c r="F820" i="2"/>
  <c r="F817" i="2"/>
  <c r="F814" i="2"/>
  <c r="F811" i="2"/>
  <c r="F808" i="2"/>
  <c r="F805" i="2"/>
  <c r="F802" i="2"/>
  <c r="F799" i="2"/>
  <c r="F796" i="2"/>
  <c r="F793" i="2"/>
  <c r="F790" i="2"/>
  <c r="F787" i="2"/>
  <c r="F784" i="2"/>
  <c r="F781" i="2"/>
  <c r="F778" i="2"/>
  <c r="F775" i="2"/>
  <c r="F772" i="2"/>
  <c r="F769" i="2"/>
  <c r="F766" i="2"/>
  <c r="F763" i="2"/>
  <c r="F760" i="2"/>
  <c r="F757" i="2"/>
  <c r="F754" i="2"/>
  <c r="F751" i="2"/>
  <c r="F748" i="2"/>
  <c r="F745" i="2"/>
  <c r="F742" i="2"/>
  <c r="F739" i="2"/>
  <c r="F736" i="2"/>
  <c r="F733" i="2"/>
  <c r="F730" i="2"/>
  <c r="F727" i="2"/>
  <c r="F724" i="2"/>
  <c r="F721" i="2"/>
  <c r="F718" i="2"/>
  <c r="F715" i="2"/>
  <c r="F712" i="2"/>
  <c r="F709" i="2"/>
  <c r="F706" i="2"/>
  <c r="F703" i="2"/>
  <c r="F700" i="2"/>
  <c r="F697" i="2"/>
  <c r="F694" i="2"/>
  <c r="F691" i="2"/>
  <c r="F688" i="2"/>
  <c r="F685" i="2"/>
  <c r="F682" i="2"/>
  <c r="F679" i="2"/>
  <c r="F676" i="2"/>
  <c r="F673" i="2"/>
  <c r="F670" i="2"/>
  <c r="F667" i="2"/>
  <c r="F664" i="2"/>
  <c r="F661" i="2"/>
  <c r="F658" i="2"/>
  <c r="F655" i="2"/>
  <c r="F652" i="2"/>
  <c r="F649" i="2"/>
  <c r="F646" i="2"/>
  <c r="F643" i="2"/>
  <c r="F640" i="2"/>
  <c r="F637" i="2"/>
  <c r="F634" i="2"/>
  <c r="F631" i="2"/>
  <c r="F628" i="2"/>
  <c r="F625" i="2"/>
  <c r="F622" i="2"/>
  <c r="F619" i="2"/>
  <c r="F616" i="2"/>
  <c r="F613" i="2"/>
  <c r="F610" i="2"/>
  <c r="F607" i="2"/>
  <c r="F604" i="2"/>
  <c r="F601" i="2"/>
  <c r="F598" i="2"/>
  <c r="F595" i="2"/>
  <c r="F592" i="2"/>
  <c r="F589" i="2"/>
  <c r="F586" i="2"/>
  <c r="F583" i="2"/>
  <c r="F580" i="2"/>
  <c r="F577" i="2"/>
  <c r="F574" i="2"/>
  <c r="F571" i="2"/>
  <c r="F568" i="2"/>
  <c r="F565" i="2"/>
  <c r="F562" i="2"/>
  <c r="F559" i="2"/>
  <c r="F556" i="2"/>
  <c r="F553" i="2"/>
  <c r="F550" i="2"/>
  <c r="F547" i="2"/>
  <c r="F544" i="2"/>
  <c r="F541" i="2"/>
  <c r="F538" i="2"/>
  <c r="F535" i="2"/>
  <c r="F532" i="2"/>
  <c r="F529" i="2"/>
  <c r="F526" i="2"/>
  <c r="F523" i="2"/>
  <c r="F520" i="2"/>
  <c r="F517" i="2"/>
  <c r="F514" i="2"/>
  <c r="F511" i="2"/>
  <c r="F508" i="2"/>
  <c r="F505" i="2"/>
  <c r="F502" i="2"/>
  <c r="F499" i="2"/>
  <c r="F496" i="2"/>
  <c r="F493" i="2"/>
  <c r="F490" i="2"/>
  <c r="F487" i="2"/>
  <c r="F484" i="2"/>
  <c r="F481" i="2"/>
  <c r="F478" i="2"/>
  <c r="F475" i="2"/>
  <c r="F472" i="2"/>
  <c r="F469" i="2"/>
  <c r="F466" i="2"/>
  <c r="F463" i="2"/>
  <c r="F460" i="2"/>
  <c r="F457" i="2"/>
  <c r="F454" i="2"/>
  <c r="F451" i="2"/>
  <c r="F448" i="2"/>
  <c r="F445" i="2"/>
  <c r="F442" i="2"/>
  <c r="F439" i="2"/>
  <c r="F436" i="2"/>
  <c r="F433" i="2"/>
  <c r="F430" i="2"/>
  <c r="F427" i="2"/>
  <c r="F424" i="2"/>
  <c r="F421" i="2"/>
  <c r="F418" i="2"/>
  <c r="F415" i="2"/>
  <c r="F412" i="2"/>
  <c r="F409" i="2"/>
  <c r="F406" i="2"/>
  <c r="F403" i="2"/>
  <c r="F400" i="2"/>
  <c r="F397" i="2"/>
  <c r="F394" i="2"/>
  <c r="F391" i="2"/>
  <c r="F388" i="2"/>
  <c r="F385" i="2"/>
  <c r="F382" i="2"/>
  <c r="F379" i="2"/>
  <c r="F376" i="2"/>
  <c r="F373" i="2"/>
  <c r="F370" i="2"/>
  <c r="F367" i="2"/>
  <c r="F364" i="2"/>
  <c r="F361" i="2"/>
  <c r="F358" i="2"/>
  <c r="F355" i="2"/>
  <c r="F352" i="2"/>
  <c r="F349" i="2"/>
  <c r="F346" i="2"/>
  <c r="F343" i="2"/>
  <c r="F340" i="2"/>
  <c r="F337" i="2"/>
  <c r="F334" i="2"/>
  <c r="F331" i="2"/>
  <c r="F328" i="2"/>
  <c r="F325" i="2"/>
  <c r="F322" i="2"/>
  <c r="F319" i="2"/>
  <c r="F316" i="2"/>
  <c r="F313" i="2"/>
  <c r="F310" i="2"/>
  <c r="F307" i="2"/>
  <c r="F304" i="2"/>
  <c r="F301" i="2"/>
  <c r="F298" i="2"/>
  <c r="F295" i="2"/>
  <c r="F292" i="2"/>
  <c r="F289" i="2"/>
  <c r="F286" i="2"/>
  <c r="F283" i="2"/>
  <c r="F280" i="2"/>
  <c r="F277" i="2"/>
  <c r="F274" i="2"/>
  <c r="F271" i="2"/>
  <c r="F268" i="2"/>
  <c r="F265" i="2"/>
  <c r="F262" i="2"/>
  <c r="F259" i="2"/>
  <c r="F256" i="2"/>
  <c r="F253" i="2"/>
  <c r="F250" i="2"/>
  <c r="F247" i="2"/>
  <c r="F244" i="2"/>
  <c r="F241" i="2"/>
  <c r="F238" i="2"/>
  <c r="F235" i="2"/>
  <c r="F232" i="2"/>
  <c r="F229" i="2"/>
  <c r="F226" i="2"/>
  <c r="F223" i="2"/>
  <c r="F220" i="2"/>
  <c r="F217" i="2"/>
  <c r="F214" i="2"/>
  <c r="F211" i="2"/>
  <c r="F208" i="2"/>
  <c r="F205" i="2"/>
  <c r="F202" i="2"/>
  <c r="F199" i="2"/>
  <c r="F196" i="2"/>
  <c r="F193" i="2"/>
  <c r="F190" i="2"/>
  <c r="F187" i="2"/>
  <c r="F184" i="2"/>
  <c r="F2316" i="2"/>
  <c r="F2067" i="2"/>
  <c r="F1874" i="2"/>
  <c r="F1687" i="2"/>
  <c r="F1619" i="2"/>
  <c r="F1552" i="2"/>
  <c r="F1534" i="2"/>
  <c r="F1516" i="2"/>
  <c r="F1493" i="2"/>
  <c r="F1480" i="2"/>
  <c r="F1457" i="2"/>
  <c r="F1444" i="2"/>
  <c r="F1421" i="2"/>
  <c r="F1408" i="2"/>
  <c r="F1385" i="2"/>
  <c r="F1372" i="2"/>
  <c r="F1349" i="2"/>
  <c r="F1336" i="2"/>
  <c r="F1313" i="2"/>
  <c r="F1300" i="2"/>
  <c r="F1277" i="2"/>
  <c r="F1264" i="2"/>
  <c r="F1241" i="2"/>
  <c r="F1228" i="2"/>
  <c r="F1205" i="2"/>
  <c r="F1192" i="2"/>
  <c r="F1169" i="2"/>
  <c r="F1156" i="2"/>
  <c r="F1133" i="2"/>
  <c r="F1120" i="2"/>
  <c r="F2228" i="2"/>
  <c r="F1976" i="2"/>
  <c r="F1733" i="2"/>
  <c r="F1615" i="2"/>
  <c r="F1583" i="2"/>
  <c r="F1562" i="2"/>
  <c r="F1496" i="2"/>
  <c r="F1483" i="2"/>
  <c r="F1460" i="2"/>
  <c r="F1447" i="2"/>
  <c r="F1424" i="2"/>
  <c r="F1411" i="2"/>
  <c r="F1388" i="2"/>
  <c r="F1375" i="2"/>
  <c r="F1352" i="2"/>
  <c r="F1339" i="2"/>
  <c r="F1316" i="2"/>
  <c r="F1303" i="2"/>
  <c r="F1280" i="2"/>
  <c r="F1267" i="2"/>
  <c r="F1244" i="2"/>
  <c r="F1231" i="2"/>
  <c r="F1208" i="2"/>
  <c r="F1195" i="2"/>
  <c r="F1172" i="2"/>
  <c r="F1159" i="2"/>
  <c r="F1136" i="2"/>
  <c r="F1123" i="2"/>
  <c r="F2339" i="2"/>
  <c r="F2090" i="2"/>
  <c r="F1838" i="2"/>
  <c r="F1756" i="2"/>
  <c r="F1637" i="2"/>
  <c r="F1576" i="2"/>
  <c r="F1565" i="2"/>
  <c r="F1537" i="2"/>
  <c r="F1519" i="2"/>
  <c r="F1499" i="2"/>
  <c r="F1486" i="2"/>
  <c r="F1463" i="2"/>
  <c r="F1450" i="2"/>
  <c r="F1427" i="2"/>
  <c r="F1414" i="2"/>
  <c r="F1391" i="2"/>
  <c r="F1378" i="2"/>
  <c r="F1355" i="2"/>
  <c r="F1342" i="2"/>
  <c r="F1319" i="2"/>
  <c r="F1306" i="2"/>
  <c r="F1283" i="2"/>
  <c r="F1270" i="2"/>
  <c r="F1247" i="2"/>
  <c r="F1234" i="2"/>
  <c r="F1211" i="2"/>
  <c r="F1198" i="2"/>
  <c r="F1175" i="2"/>
  <c r="F1162" i="2"/>
  <c r="F1139" i="2"/>
  <c r="F1126" i="2"/>
  <c r="F1979" i="2"/>
  <c r="F1928" i="2"/>
  <c r="F1736" i="2"/>
  <c r="F1648" i="2"/>
  <c r="F1607" i="2"/>
  <c r="F1600" i="2"/>
  <c r="F1579" i="2"/>
  <c r="F1558" i="2"/>
  <c r="F1502" i="2"/>
  <c r="F1489" i="2"/>
  <c r="F1466" i="2"/>
  <c r="F1453" i="2"/>
  <c r="F1430" i="2"/>
  <c r="F1417" i="2"/>
  <c r="F1394" i="2"/>
  <c r="F1381" i="2"/>
  <c r="F1358" i="2"/>
  <c r="F1345" i="2"/>
  <c r="F1322" i="2"/>
  <c r="F1309" i="2"/>
  <c r="F1286" i="2"/>
  <c r="F1273" i="2"/>
  <c r="F1250" i="2"/>
  <c r="F1237" i="2"/>
  <c r="F2097" i="2"/>
  <c r="F1802" i="2"/>
  <c r="F1759" i="2"/>
  <c r="F1655" i="2"/>
  <c r="F1625" i="2"/>
  <c r="F1589" i="2"/>
  <c r="F1540" i="2"/>
  <c r="F1522" i="2"/>
  <c r="F1505" i="2"/>
  <c r="F1492" i="2"/>
  <c r="F1469" i="2"/>
  <c r="F1456" i="2"/>
  <c r="F1433" i="2"/>
  <c r="F1420" i="2"/>
  <c r="F1397" i="2"/>
  <c r="F1384" i="2"/>
  <c r="F1361" i="2"/>
  <c r="F1348" i="2"/>
  <c r="F1325" i="2"/>
  <c r="F1312" i="2"/>
  <c r="F1289" i="2"/>
  <c r="F1276" i="2"/>
  <c r="F1253" i="2"/>
  <c r="F1240" i="2"/>
  <c r="F1217" i="2"/>
  <c r="F1204" i="2"/>
  <c r="F1181" i="2"/>
  <c r="F1168" i="2"/>
  <c r="F2120" i="2"/>
  <c r="F1766" i="2"/>
  <c r="F1720" i="2"/>
  <c r="F1628" i="2"/>
  <c r="F1592" i="2"/>
  <c r="F1585" i="2"/>
  <c r="F1571" i="2"/>
  <c r="F1564" i="2"/>
  <c r="F1543" i="2"/>
  <c r="F1525" i="2"/>
  <c r="F1511" i="2"/>
  <c r="F1498" i="2"/>
  <c r="F1475" i="2"/>
  <c r="F1462" i="2"/>
  <c r="F1439" i="2"/>
  <c r="F1426" i="2"/>
  <c r="F1403" i="2"/>
  <c r="F1390" i="2"/>
  <c r="F1367" i="2"/>
  <c r="F1354" i="2"/>
  <c r="F1331" i="2"/>
  <c r="F1318" i="2"/>
  <c r="F1295" i="2"/>
  <c r="F1282" i="2"/>
  <c r="F1259" i="2"/>
  <c r="F1246" i="2"/>
  <c r="F1223" i="2"/>
  <c r="F1210" i="2"/>
  <c r="F1187" i="2"/>
  <c r="F1174" i="2"/>
  <c r="F1151" i="2"/>
  <c r="F1495" i="2"/>
  <c r="F1436" i="2"/>
  <c r="F1279" i="2"/>
  <c r="F1220" i="2"/>
  <c r="F1201" i="2"/>
  <c r="F852" i="2"/>
  <c r="F839" i="2"/>
  <c r="F816" i="2"/>
  <c r="F803" i="2"/>
  <c r="F780" i="2"/>
  <c r="F767" i="2"/>
  <c r="F744" i="2"/>
  <c r="F731" i="2"/>
  <c r="F708" i="2"/>
  <c r="F695" i="2"/>
  <c r="F672" i="2"/>
  <c r="F659" i="2"/>
  <c r="F636" i="2"/>
  <c r="F623" i="2"/>
  <c r="F600" i="2"/>
  <c r="F587" i="2"/>
  <c r="F564" i="2"/>
  <c r="F551" i="2"/>
  <c r="F528" i="2"/>
  <c r="F515" i="2"/>
  <c r="F492" i="2"/>
  <c r="F479" i="2"/>
  <c r="F456" i="2"/>
  <c r="F443" i="2"/>
  <c r="F420" i="2"/>
  <c r="F407" i="2"/>
  <c r="F384" i="2"/>
  <c r="F1582" i="2"/>
  <c r="F1132" i="2"/>
  <c r="F1113" i="2"/>
  <c r="F1095" i="2"/>
  <c r="F1077" i="2"/>
  <c r="F1059" i="2"/>
  <c r="F1041" i="2"/>
  <c r="F1023" i="2"/>
  <c r="F1005" i="2"/>
  <c r="F987" i="2"/>
  <c r="F969" i="2"/>
  <c r="F951" i="2"/>
  <c r="F933" i="2"/>
  <c r="F915" i="2"/>
  <c r="F897" i="2"/>
  <c r="F879" i="2"/>
  <c r="F855" i="2"/>
  <c r="F842" i="2"/>
  <c r="F819" i="2"/>
  <c r="F806" i="2"/>
  <c r="F783" i="2"/>
  <c r="F770" i="2"/>
  <c r="F747" i="2"/>
  <c r="F734" i="2"/>
  <c r="F711" i="2"/>
  <c r="F698" i="2"/>
  <c r="F675" i="2"/>
  <c r="F662" i="2"/>
  <c r="F639" i="2"/>
  <c r="F626" i="2"/>
  <c r="F603" i="2"/>
  <c r="F590" i="2"/>
  <c r="F567" i="2"/>
  <c r="F554" i="2"/>
  <c r="F531" i="2"/>
  <c r="F518" i="2"/>
  <c r="F495" i="2"/>
  <c r="F482" i="2"/>
  <c r="F459" i="2"/>
  <c r="F446" i="2"/>
  <c r="F423" i="2"/>
  <c r="F410" i="2"/>
  <c r="F387" i="2"/>
  <c r="F374" i="2"/>
  <c r="F351" i="2"/>
  <c r="F338" i="2"/>
  <c r="F315" i="2"/>
  <c r="F302" i="2"/>
  <c r="F279" i="2"/>
  <c r="F266" i="2"/>
  <c r="F243" i="2"/>
  <c r="F230" i="2"/>
  <c r="F207" i="2"/>
  <c r="F194" i="2"/>
  <c r="F181" i="2"/>
  <c r="F178" i="2"/>
  <c r="F175" i="2"/>
  <c r="F172" i="2"/>
  <c r="F169" i="2"/>
  <c r="F166" i="2"/>
  <c r="F163" i="2"/>
  <c r="F160" i="2"/>
  <c r="F157" i="2"/>
  <c r="F154" i="2"/>
  <c r="F151" i="2"/>
  <c r="F148" i="2"/>
  <c r="F145" i="2"/>
  <c r="F142" i="2"/>
  <c r="F139" i="2"/>
  <c r="F136" i="2"/>
  <c r="F133" i="2"/>
  <c r="F130" i="2"/>
  <c r="F127" i="2"/>
  <c r="F124" i="2"/>
  <c r="F121" i="2"/>
  <c r="F118" i="2"/>
  <c r="F115" i="2"/>
  <c r="F112" i="2"/>
  <c r="F109" i="2"/>
  <c r="F106" i="2"/>
  <c r="F103" i="2"/>
  <c r="F100" i="2"/>
  <c r="F97" i="2"/>
  <c r="F94" i="2"/>
  <c r="F91" i="2"/>
  <c r="F88" i="2"/>
  <c r="F85" i="2"/>
  <c r="F82" i="2"/>
  <c r="F79" i="2"/>
  <c r="F76" i="2"/>
  <c r="F73" i="2"/>
  <c r="F70" i="2"/>
  <c r="F67" i="2"/>
  <c r="F64" i="2"/>
  <c r="F61" i="2"/>
  <c r="F58" i="2"/>
  <c r="F55" i="2"/>
  <c r="F52" i="2"/>
  <c r="F49" i="2"/>
  <c r="F46" i="2"/>
  <c r="F43" i="2"/>
  <c r="F40" i="2"/>
  <c r="F37" i="2"/>
  <c r="F34" i="2"/>
  <c r="F31" i="2"/>
  <c r="F28" i="2"/>
  <c r="F25" i="2"/>
  <c r="F22" i="2"/>
  <c r="F19" i="2"/>
  <c r="F16" i="2"/>
  <c r="F13" i="2"/>
  <c r="F10" i="2"/>
  <c r="F1697" i="2"/>
  <c r="F1459" i="2"/>
  <c r="F1400" i="2"/>
  <c r="F1243" i="2"/>
  <c r="F858" i="2"/>
  <c r="F845" i="2"/>
  <c r="F822" i="2"/>
  <c r="F809" i="2"/>
  <c r="F786" i="2"/>
  <c r="F773" i="2"/>
  <c r="F750" i="2"/>
  <c r="F737" i="2"/>
  <c r="F714" i="2"/>
  <c r="F701" i="2"/>
  <c r="F678" i="2"/>
  <c r="F665" i="2"/>
  <c r="F642" i="2"/>
  <c r="F629" i="2"/>
  <c r="F606" i="2"/>
  <c r="F593" i="2"/>
  <c r="F570" i="2"/>
  <c r="F557" i="2"/>
  <c r="F534" i="2"/>
  <c r="F521" i="2"/>
  <c r="F498" i="2"/>
  <c r="F485" i="2"/>
  <c r="F462" i="2"/>
  <c r="F449" i="2"/>
  <c r="F2168" i="2"/>
  <c r="F1135" i="2"/>
  <c r="F1116" i="2"/>
  <c r="F1098" i="2"/>
  <c r="F1080" i="2"/>
  <c r="F1062" i="2"/>
  <c r="F1044" i="2"/>
  <c r="F1026" i="2"/>
  <c r="F1008" i="2"/>
  <c r="F990" i="2"/>
  <c r="F972" i="2"/>
  <c r="F954" i="2"/>
  <c r="F936" i="2"/>
  <c r="F918" i="2"/>
  <c r="F900" i="2"/>
  <c r="F882" i="2"/>
  <c r="F861" i="2"/>
  <c r="F848" i="2"/>
  <c r="F825" i="2"/>
  <c r="F812" i="2"/>
  <c r="F789" i="2"/>
  <c r="F776" i="2"/>
  <c r="F753" i="2"/>
  <c r="F740" i="2"/>
  <c r="F717" i="2"/>
  <c r="F704" i="2"/>
  <c r="F681" i="2"/>
  <c r="F668" i="2"/>
  <c r="F645" i="2"/>
  <c r="F632" i="2"/>
  <c r="F609" i="2"/>
  <c r="F596" i="2"/>
  <c r="F573" i="2"/>
  <c r="F560" i="2"/>
  <c r="F537" i="2"/>
  <c r="F524" i="2"/>
  <c r="F501" i="2"/>
  <c r="F488" i="2"/>
  <c r="F465" i="2"/>
  <c r="F452" i="2"/>
  <c r="F429" i="2"/>
  <c r="F416" i="2"/>
  <c r="F393" i="2"/>
  <c r="F380" i="2"/>
  <c r="F357" i="2"/>
  <c r="F344" i="2"/>
  <c r="F321" i="2"/>
  <c r="F308" i="2"/>
  <c r="F285" i="2"/>
  <c r="F272" i="2"/>
  <c r="F249" i="2"/>
  <c r="F236" i="2"/>
  <c r="F213" i="2"/>
  <c r="F200" i="2"/>
  <c r="F1892" i="2"/>
  <c r="F1423" i="2"/>
  <c r="F1364" i="2"/>
  <c r="F1184" i="2"/>
  <c r="F1165" i="2"/>
  <c r="F1142" i="2"/>
  <c r="F864" i="2"/>
  <c r="F851" i="2"/>
  <c r="F828" i="2"/>
  <c r="F815" i="2"/>
  <c r="F792" i="2"/>
  <c r="F779" i="2"/>
  <c r="F756" i="2"/>
  <c r="F743" i="2"/>
  <c r="F720" i="2"/>
  <c r="F707" i="2"/>
  <c r="F684" i="2"/>
  <c r="F671" i="2"/>
  <c r="F648" i="2"/>
  <c r="F635" i="2"/>
  <c r="F612" i="2"/>
  <c r="F599" i="2"/>
  <c r="F576" i="2"/>
  <c r="F563" i="2"/>
  <c r="F540" i="2"/>
  <c r="F527" i="2"/>
  <c r="F504" i="2"/>
  <c r="F491" i="2"/>
  <c r="F468" i="2"/>
  <c r="F455" i="2"/>
  <c r="F1207" i="2"/>
  <c r="F1138" i="2"/>
  <c r="F1101" i="2"/>
  <c r="F1083" i="2"/>
  <c r="F1065" i="2"/>
  <c r="F1047" i="2"/>
  <c r="F1029" i="2"/>
  <c r="F1011" i="2"/>
  <c r="F993" i="2"/>
  <c r="F975" i="2"/>
  <c r="F957" i="2"/>
  <c r="F939" i="2"/>
  <c r="F921" i="2"/>
  <c r="F903" i="2"/>
  <c r="F885" i="2"/>
  <c r="F867" i="2"/>
  <c r="F854" i="2"/>
  <c r="F831" i="2"/>
  <c r="F818" i="2"/>
  <c r="F795" i="2"/>
  <c r="F782" i="2"/>
  <c r="F759" i="2"/>
  <c r="F746" i="2"/>
  <c r="F723" i="2"/>
  <c r="F710" i="2"/>
  <c r="F687" i="2"/>
  <c r="F674" i="2"/>
  <c r="F651" i="2"/>
  <c r="F638" i="2"/>
  <c r="F615" i="2"/>
  <c r="F602" i="2"/>
  <c r="F579" i="2"/>
  <c r="F566" i="2"/>
  <c r="F543" i="2"/>
  <c r="F530" i="2"/>
  <c r="F507" i="2"/>
  <c r="F494" i="2"/>
  <c r="F471" i="2"/>
  <c r="F458" i="2"/>
  <c r="F435" i="2"/>
  <c r="F422" i="2"/>
  <c r="F399" i="2"/>
  <c r="F386" i="2"/>
  <c r="F363" i="2"/>
  <c r="F350" i="2"/>
  <c r="F327" i="2"/>
  <c r="F314" i="2"/>
  <c r="F291" i="2"/>
  <c r="F278" i="2"/>
  <c r="F255" i="2"/>
  <c r="F242" i="2"/>
  <c r="F219" i="2"/>
  <c r="F206" i="2"/>
  <c r="F183" i="2"/>
  <c r="F180" i="2"/>
  <c r="F177" i="2"/>
  <c r="F174" i="2"/>
  <c r="F171" i="2"/>
  <c r="F168" i="2"/>
  <c r="F165" i="2"/>
  <c r="F162" i="2"/>
  <c r="F159" i="2"/>
  <c r="F156" i="2"/>
  <c r="F153" i="2"/>
  <c r="F150" i="2"/>
  <c r="F147" i="2"/>
  <c r="F144" i="2"/>
  <c r="F141" i="2"/>
  <c r="F138" i="2"/>
  <c r="F135" i="2"/>
  <c r="F132" i="2"/>
  <c r="F129" i="2"/>
  <c r="F126" i="2"/>
  <c r="F123" i="2"/>
  <c r="F120" i="2"/>
  <c r="F117" i="2"/>
  <c r="F114" i="2"/>
  <c r="F111" i="2"/>
  <c r="F108" i="2"/>
  <c r="F105" i="2"/>
  <c r="F102" i="2"/>
  <c r="F99" i="2"/>
  <c r="F96" i="2"/>
  <c r="F93" i="2"/>
  <c r="F90" i="2"/>
  <c r="F1387" i="2"/>
  <c r="F1328" i="2"/>
  <c r="F1145" i="2"/>
  <c r="F857" i="2"/>
  <c r="F834" i="2"/>
  <c r="F821" i="2"/>
  <c r="F798" i="2"/>
  <c r="F785" i="2"/>
  <c r="F762" i="2"/>
  <c r="F749" i="2"/>
  <c r="F726" i="2"/>
  <c r="F713" i="2"/>
  <c r="F690" i="2"/>
  <c r="F677" i="2"/>
  <c r="F654" i="2"/>
  <c r="F641" i="2"/>
  <c r="F618" i="2"/>
  <c r="F605" i="2"/>
  <c r="F582" i="2"/>
  <c r="F569" i="2"/>
  <c r="F546" i="2"/>
  <c r="F533" i="2"/>
  <c r="F510" i="2"/>
  <c r="F497" i="2"/>
  <c r="F474" i="2"/>
  <c r="F461" i="2"/>
  <c r="F438" i="2"/>
  <c r="F425" i="2"/>
  <c r="F402" i="2"/>
  <c r="F389" i="2"/>
  <c r="F366" i="2"/>
  <c r="F353" i="2"/>
  <c r="F330" i="2"/>
  <c r="F1214" i="2"/>
  <c r="F1104" i="2"/>
  <c r="F1086" i="2"/>
  <c r="F1068" i="2"/>
  <c r="F1050" i="2"/>
  <c r="F1032" i="2"/>
  <c r="F1014" i="2"/>
  <c r="F996" i="2"/>
  <c r="F978" i="2"/>
  <c r="F960" i="2"/>
  <c r="F942" i="2"/>
  <c r="F924" i="2"/>
  <c r="F906" i="2"/>
  <c r="F888" i="2"/>
  <c r="F870" i="2"/>
  <c r="F860" i="2"/>
  <c r="F837" i="2"/>
  <c r="F824" i="2"/>
  <c r="F801" i="2"/>
  <c r="F788" i="2"/>
  <c r="F765" i="2"/>
  <c r="F752" i="2"/>
  <c r="F729" i="2"/>
  <c r="F716" i="2"/>
  <c r="F693" i="2"/>
  <c r="F680" i="2"/>
  <c r="F657" i="2"/>
  <c r="F644" i="2"/>
  <c r="F621" i="2"/>
  <c r="F608" i="2"/>
  <c r="F585" i="2"/>
  <c r="F572" i="2"/>
  <c r="F549" i="2"/>
  <c r="F536" i="2"/>
  <c r="F513" i="2"/>
  <c r="F500" i="2"/>
  <c r="F477" i="2"/>
  <c r="F464" i="2"/>
  <c r="F441" i="2"/>
  <c r="F428" i="2"/>
  <c r="F405" i="2"/>
  <c r="F392" i="2"/>
  <c r="F369" i="2"/>
  <c r="F356" i="2"/>
  <c r="F333" i="2"/>
  <c r="F320" i="2"/>
  <c r="F297" i="2"/>
  <c r="F284" i="2"/>
  <c r="F1508" i="2"/>
  <c r="F1351" i="2"/>
  <c r="F1292" i="2"/>
  <c r="F1148" i="2"/>
  <c r="F863" i="2"/>
  <c r="F840" i="2"/>
  <c r="F827" i="2"/>
  <c r="F804" i="2"/>
  <c r="F791" i="2"/>
  <c r="F768" i="2"/>
  <c r="F755" i="2"/>
  <c r="F732" i="2"/>
  <c r="F719" i="2"/>
  <c r="F696" i="2"/>
  <c r="F683" i="2"/>
  <c r="F660" i="2"/>
  <c r="F647" i="2"/>
  <c r="F1651" i="2"/>
  <c r="F1171" i="2"/>
  <c r="F1107" i="2"/>
  <c r="F1089" i="2"/>
  <c r="F1071" i="2"/>
  <c r="F1053" i="2"/>
  <c r="F1035" i="2"/>
  <c r="F1017" i="2"/>
  <c r="F999" i="2"/>
  <c r="F981" i="2"/>
  <c r="F963" i="2"/>
  <c r="F945" i="2"/>
  <c r="F927" i="2"/>
  <c r="F909" i="2"/>
  <c r="F891" i="2"/>
  <c r="F873" i="2"/>
  <c r="F866" i="2"/>
  <c r="F843" i="2"/>
  <c r="F830" i="2"/>
  <c r="F807" i="2"/>
  <c r="F794" i="2"/>
  <c r="F771" i="2"/>
  <c r="F758" i="2"/>
  <c r="F735" i="2"/>
  <c r="F722" i="2"/>
  <c r="F699" i="2"/>
  <c r="F686" i="2"/>
  <c r="F663" i="2"/>
  <c r="F650" i="2"/>
  <c r="F627" i="2"/>
  <c r="F614" i="2"/>
  <c r="F591" i="2"/>
  <c r="F578" i="2"/>
  <c r="F555" i="2"/>
  <c r="F542" i="2"/>
  <c r="F519" i="2"/>
  <c r="F506" i="2"/>
  <c r="F483" i="2"/>
  <c r="F470" i="2"/>
  <c r="F447" i="2"/>
  <c r="F434" i="2"/>
  <c r="F411" i="2"/>
  <c r="F398" i="2"/>
  <c r="F375" i="2"/>
  <c r="F362" i="2"/>
  <c r="F1472" i="2"/>
  <c r="F1315" i="2"/>
  <c r="F1256" i="2"/>
  <c r="F1178" i="2"/>
  <c r="F1129" i="2"/>
  <c r="F1110" i="2"/>
  <c r="F1092" i="2"/>
  <c r="F1074" i="2"/>
  <c r="F1056" i="2"/>
  <c r="F1038" i="2"/>
  <c r="F1020" i="2"/>
  <c r="F1002" i="2"/>
  <c r="F984" i="2"/>
  <c r="F966" i="2"/>
  <c r="F948" i="2"/>
  <c r="F930" i="2"/>
  <c r="F912" i="2"/>
  <c r="F894" i="2"/>
  <c r="F876" i="2"/>
  <c r="F849" i="2"/>
  <c r="F836" i="2"/>
  <c r="F813" i="2"/>
  <c r="F800" i="2"/>
  <c r="F777" i="2"/>
  <c r="F764" i="2"/>
  <c r="F741" i="2"/>
  <c r="F728" i="2"/>
  <c r="F705" i="2"/>
  <c r="F692" i="2"/>
  <c r="F669" i="2"/>
  <c r="F656" i="2"/>
  <c r="F633" i="2"/>
  <c r="F620" i="2"/>
  <c r="F597" i="2"/>
  <c r="F584" i="2"/>
  <c r="F561" i="2"/>
  <c r="F548" i="2"/>
  <c r="F525" i="2"/>
  <c r="F512" i="2"/>
  <c r="F489" i="2"/>
  <c r="F476" i="2"/>
  <c r="F453" i="2"/>
  <c r="F440" i="2"/>
  <c r="F417" i="2"/>
  <c r="F404" i="2"/>
  <c r="F381" i="2"/>
  <c r="F368" i="2"/>
  <c r="F345" i="2"/>
  <c r="F332" i="2"/>
  <c r="F309" i="2"/>
  <c r="F296" i="2"/>
  <c r="F273" i="2"/>
  <c r="F260" i="2"/>
  <c r="F237" i="2"/>
  <c r="F224" i="2"/>
  <c r="F201" i="2"/>
  <c r="F188" i="2"/>
  <c r="F7" i="2"/>
  <c r="F26" i="2"/>
  <c r="F39" i="2"/>
  <c r="F62" i="2"/>
  <c r="F75" i="2"/>
  <c r="F192" i="2"/>
  <c r="F227" i="2"/>
  <c r="F248" i="2"/>
  <c r="F290" i="2"/>
  <c r="F329" i="2"/>
  <c r="F347" i="2"/>
  <c r="F395" i="2"/>
  <c r="F432" i="2"/>
  <c r="F509" i="2"/>
  <c r="F617" i="2"/>
  <c r="F341" i="2"/>
  <c r="F4" i="2"/>
  <c r="F98" i="2"/>
  <c r="F170" i="2"/>
  <c r="F42" i="2"/>
  <c r="F65" i="2"/>
  <c r="F78" i="2"/>
  <c r="F95" i="2"/>
  <c r="F23" i="2"/>
  <c r="F36" i="2"/>
  <c r="F59" i="2"/>
  <c r="F72" i="2"/>
  <c r="F92" i="2"/>
  <c r="F110" i="2"/>
  <c r="F128" i="2"/>
  <c r="F146" i="2"/>
  <c r="F164" i="2"/>
  <c r="F182" i="2"/>
  <c r="F189" i="2"/>
  <c r="F203" i="2"/>
  <c r="F210" i="2"/>
  <c r="F234" i="2"/>
  <c r="F245" i="2"/>
  <c r="F269" i="2"/>
  <c r="F276" i="2"/>
  <c r="F287" i="2"/>
  <c r="F467" i="2"/>
  <c r="F486" i="2"/>
  <c r="F575" i="2"/>
  <c r="F594" i="2"/>
  <c r="F774" i="2"/>
  <c r="F833" i="2"/>
  <c r="F27" i="2"/>
  <c r="F396" i="2"/>
  <c r="F426" i="2"/>
  <c r="F84" i="2"/>
  <c r="F198" i="2"/>
  <c r="F2" i="2"/>
  <c r="F20" i="2"/>
  <c r="F33" i="2"/>
  <c r="F56" i="2"/>
  <c r="F69" i="2"/>
  <c r="F231" i="2"/>
  <c r="F252" i="2"/>
  <c r="F294" i="2"/>
  <c r="F326" i="2"/>
  <c r="F377" i="2"/>
  <c r="F414" i="2"/>
  <c r="F444" i="2"/>
  <c r="F552" i="2"/>
  <c r="B5" i="4"/>
  <c r="D8" i="7"/>
  <c r="B3" i="4"/>
  <c r="B16" i="6"/>
  <c r="M5" i="7" s="1"/>
  <c r="B22" i="6"/>
  <c r="M9" i="7" s="1"/>
  <c r="D369" i="5" l="1"/>
  <c r="D367" i="5"/>
  <c r="D365" i="5"/>
  <c r="D363" i="5"/>
  <c r="D361" i="5"/>
  <c r="D359" i="5"/>
  <c r="D357" i="5"/>
  <c r="D355" i="5"/>
  <c r="D353" i="5"/>
  <c r="D351" i="5"/>
  <c r="D349" i="5"/>
  <c r="D347" i="5"/>
  <c r="D345" i="5"/>
  <c r="D343" i="5"/>
  <c r="D341" i="5"/>
  <c r="D339" i="5"/>
  <c r="D337" i="5"/>
  <c r="D335" i="5"/>
  <c r="D333" i="5"/>
  <c r="D331" i="5"/>
  <c r="D329" i="5"/>
  <c r="D327" i="5"/>
  <c r="D325" i="5"/>
  <c r="D323" i="5"/>
  <c r="D321" i="5"/>
  <c r="D319" i="5"/>
  <c r="D317" i="5"/>
  <c r="D315" i="5"/>
  <c r="D313" i="5"/>
  <c r="D311" i="5"/>
  <c r="D309" i="5"/>
  <c r="D307" i="5"/>
  <c r="D305" i="5"/>
  <c r="D303" i="5"/>
  <c r="D301" i="5"/>
  <c r="D299" i="5"/>
  <c r="D297" i="5"/>
  <c r="D295" i="5"/>
  <c r="D293" i="5"/>
  <c r="D291" i="5"/>
  <c r="D289" i="5"/>
  <c r="D287" i="5"/>
  <c r="D285" i="5"/>
  <c r="D283" i="5"/>
  <c r="D281" i="5"/>
  <c r="D279" i="5"/>
  <c r="D277" i="5"/>
  <c r="D275" i="5"/>
  <c r="D273" i="5"/>
  <c r="D271" i="5"/>
  <c r="D269" i="5"/>
  <c r="D267" i="5"/>
  <c r="D265" i="5"/>
  <c r="D263" i="5"/>
  <c r="D261" i="5"/>
  <c r="D259" i="5"/>
  <c r="D257" i="5"/>
  <c r="D255" i="5"/>
  <c r="D253" i="5"/>
  <c r="D251" i="5"/>
  <c r="D249" i="5"/>
  <c r="D247" i="5"/>
  <c r="D245" i="5"/>
  <c r="D243" i="5"/>
  <c r="D241" i="5"/>
  <c r="D239" i="5"/>
  <c r="D237" i="5"/>
  <c r="D235" i="5"/>
  <c r="D233" i="5"/>
  <c r="D231" i="5"/>
  <c r="D229" i="5"/>
  <c r="D227" i="5"/>
  <c r="E365" i="5"/>
  <c r="C363" i="5"/>
  <c r="E354" i="5"/>
  <c r="E362" i="5"/>
  <c r="D360" i="5"/>
  <c r="C358" i="5"/>
  <c r="E349" i="5"/>
  <c r="C347" i="5"/>
  <c r="E338" i="5"/>
  <c r="D336" i="5"/>
  <c r="C334" i="5"/>
  <c r="E325" i="5"/>
  <c r="C323" i="5"/>
  <c r="E314" i="5"/>
  <c r="D312" i="5"/>
  <c r="C310" i="5"/>
  <c r="E301" i="5"/>
  <c r="C299" i="5"/>
  <c r="E290" i="5"/>
  <c r="D288" i="5"/>
  <c r="C286" i="5"/>
  <c r="E277" i="5"/>
  <c r="C275" i="5"/>
  <c r="E266" i="5"/>
  <c r="D264" i="5"/>
  <c r="C262" i="5"/>
  <c r="E253" i="5"/>
  <c r="C251" i="5"/>
  <c r="E242" i="5"/>
  <c r="D240" i="5"/>
  <c r="C238" i="5"/>
  <c r="E229" i="5"/>
  <c r="C227" i="5"/>
  <c r="C225" i="5"/>
  <c r="C223" i="5"/>
  <c r="C221" i="5"/>
  <c r="C219" i="5"/>
  <c r="C217" i="5"/>
  <c r="C215" i="5"/>
  <c r="C213" i="5"/>
  <c r="C211" i="5"/>
  <c r="C209" i="5"/>
  <c r="D362" i="5"/>
  <c r="C357" i="5"/>
  <c r="C352" i="5"/>
  <c r="E347" i="5"/>
  <c r="E342" i="5"/>
  <c r="C340" i="5"/>
  <c r="E335" i="5"/>
  <c r="D328" i="5"/>
  <c r="C321" i="5"/>
  <c r="D316" i="5"/>
  <c r="C309" i="5"/>
  <c r="E304" i="5"/>
  <c r="C302" i="5"/>
  <c r="E297" i="5"/>
  <c r="E292" i="5"/>
  <c r="C290" i="5"/>
  <c r="E285" i="5"/>
  <c r="D278" i="5"/>
  <c r="C271" i="5"/>
  <c r="D266" i="5"/>
  <c r="C259" i="5"/>
  <c r="E254" i="5"/>
  <c r="C252" i="5"/>
  <c r="E247" i="5"/>
  <c r="C240" i="5"/>
  <c r="E235" i="5"/>
  <c r="D228" i="5"/>
  <c r="E219" i="5"/>
  <c r="D217" i="5"/>
  <c r="E208" i="5"/>
  <c r="E206" i="5"/>
  <c r="E204" i="5"/>
  <c r="E202" i="5"/>
  <c r="E200" i="5"/>
  <c r="E198" i="5"/>
  <c r="E196" i="5"/>
  <c r="E194" i="5"/>
  <c r="E192" i="5"/>
  <c r="E190" i="5"/>
  <c r="E188" i="5"/>
  <c r="E367" i="5"/>
  <c r="C362" i="5"/>
  <c r="D354" i="5"/>
  <c r="D364" i="5"/>
  <c r="C359" i="5"/>
  <c r="E356" i="5"/>
  <c r="E351" i="5"/>
  <c r="D344" i="5"/>
  <c r="C337" i="5"/>
  <c r="E332" i="5"/>
  <c r="C330" i="5"/>
  <c r="C325" i="5"/>
  <c r="E320" i="5"/>
  <c r="C318" i="5"/>
  <c r="E313" i="5"/>
  <c r="D306" i="5"/>
  <c r="D294" i="5"/>
  <c r="C287" i="5"/>
  <c r="E282" i="5"/>
  <c r="C280" i="5"/>
  <c r="E275" i="5"/>
  <c r="E270" i="5"/>
  <c r="C268" i="5"/>
  <c r="E263" i="5"/>
  <c r="D256" i="5"/>
  <c r="C249" i="5"/>
  <c r="D244" i="5"/>
  <c r="C237" i="5"/>
  <c r="E232" i="5"/>
  <c r="C230" i="5"/>
  <c r="E225" i="5"/>
  <c r="D223" i="5"/>
  <c r="E214" i="5"/>
  <c r="D212" i="5"/>
  <c r="C210" i="5"/>
  <c r="E369" i="5"/>
  <c r="C364" i="5"/>
  <c r="D356" i="5"/>
  <c r="C351" i="5"/>
  <c r="E346" i="5"/>
  <c r="C344" i="5"/>
  <c r="E339" i="5"/>
  <c r="D332" i="5"/>
  <c r="E327" i="5"/>
  <c r="D320" i="5"/>
  <c r="C313" i="5"/>
  <c r="E308" i="5"/>
  <c r="C306" i="5"/>
  <c r="C301" i="5"/>
  <c r="E296" i="5"/>
  <c r="C294" i="5"/>
  <c r="E289" i="5"/>
  <c r="D282" i="5"/>
  <c r="D270" i="5"/>
  <c r="C263" i="5"/>
  <c r="E258" i="5"/>
  <c r="C256" i="5"/>
  <c r="E251" i="5"/>
  <c r="E246" i="5"/>
  <c r="C244" i="5"/>
  <c r="E239" i="5"/>
  <c r="D232" i="5"/>
  <c r="D225" i="5"/>
  <c r="E216" i="5"/>
  <c r="D214" i="5"/>
  <c r="C212" i="5"/>
  <c r="C366" i="5"/>
  <c r="D358" i="5"/>
  <c r="D348" i="5"/>
  <c r="C341" i="5"/>
  <c r="E336" i="5"/>
  <c r="C329" i="5"/>
  <c r="E324" i="5"/>
  <c r="C322" i="5"/>
  <c r="E317" i="5"/>
  <c r="D310" i="5"/>
  <c r="E305" i="5"/>
  <c r="D298" i="5"/>
  <c r="C291" i="5"/>
  <c r="E286" i="5"/>
  <c r="C284" i="5"/>
  <c r="C279" i="5"/>
  <c r="E274" i="5"/>
  <c r="C272" i="5"/>
  <c r="E267" i="5"/>
  <c r="C365" i="5"/>
  <c r="E357" i="5"/>
  <c r="D352" i="5"/>
  <c r="C345" i="5"/>
  <c r="D340" i="5"/>
  <c r="C333" i="5"/>
  <c r="E328" i="5"/>
  <c r="C326" i="5"/>
  <c r="E321" i="5"/>
  <c r="E316" i="5"/>
  <c r="C314" i="5"/>
  <c r="E309" i="5"/>
  <c r="D302" i="5"/>
  <c r="C295" i="5"/>
  <c r="D290" i="5"/>
  <c r="C283" i="5"/>
  <c r="E278" i="5"/>
  <c r="C276" i="5"/>
  <c r="E271" i="5"/>
  <c r="C264" i="5"/>
  <c r="C367" i="5"/>
  <c r="D342" i="5"/>
  <c r="D338" i="5"/>
  <c r="D334" i="5"/>
  <c r="D330" i="5"/>
  <c r="D326" i="5"/>
  <c r="E366" i="5"/>
  <c r="E361" i="5"/>
  <c r="C356" i="5"/>
  <c r="D346" i="5"/>
  <c r="C342" i="5"/>
  <c r="C338" i="5"/>
  <c r="C305" i="5"/>
  <c r="C297" i="5"/>
  <c r="C293" i="5"/>
  <c r="E272" i="5"/>
  <c r="E268" i="5"/>
  <c r="E260" i="5"/>
  <c r="E257" i="5"/>
  <c r="D254" i="5"/>
  <c r="E241" i="5"/>
  <c r="E238" i="5"/>
  <c r="C235" i="5"/>
  <c r="D211" i="5"/>
  <c r="D208" i="5"/>
  <c r="E205" i="5"/>
  <c r="D200" i="5"/>
  <c r="E197" i="5"/>
  <c r="D192" i="5"/>
  <c r="E189" i="5"/>
  <c r="C187" i="5"/>
  <c r="C185" i="5"/>
  <c r="C183" i="5"/>
  <c r="C181" i="5"/>
  <c r="C179" i="5"/>
  <c r="C177" i="5"/>
  <c r="C175" i="5"/>
  <c r="C173" i="5"/>
  <c r="C171" i="5"/>
  <c r="C169" i="5"/>
  <c r="C167" i="5"/>
  <c r="C165" i="5"/>
  <c r="C163" i="5"/>
  <c r="C161" i="5"/>
  <c r="C159" i="5"/>
  <c r="C157" i="5"/>
  <c r="C155" i="5"/>
  <c r="C153" i="5"/>
  <c r="C151" i="5"/>
  <c r="C149" i="5"/>
  <c r="C147" i="5"/>
  <c r="C145" i="5"/>
  <c r="C143" i="5"/>
  <c r="C141" i="5"/>
  <c r="C139" i="5"/>
  <c r="C137" i="5"/>
  <c r="C135" i="5"/>
  <c r="C133" i="5"/>
  <c r="C131" i="5"/>
  <c r="C129" i="5"/>
  <c r="C127" i="5"/>
  <c r="C125" i="5"/>
  <c r="C123" i="5"/>
  <c r="D366" i="5"/>
  <c r="C361" i="5"/>
  <c r="C346" i="5"/>
  <c r="E329" i="5"/>
  <c r="C317" i="5"/>
  <c r="E284" i="5"/>
  <c r="E280" i="5"/>
  <c r="E276" i="5"/>
  <c r="D272" i="5"/>
  <c r="D268" i="5"/>
  <c r="E264" i="5"/>
  <c r="D260" i="5"/>
  <c r="C257" i="5"/>
  <c r="C254" i="5"/>
  <c r="E244" i="5"/>
  <c r="C241" i="5"/>
  <c r="D238" i="5"/>
  <c r="E222" i="5"/>
  <c r="C208" i="5"/>
  <c r="D205" i="5"/>
  <c r="C200" i="5"/>
  <c r="D197" i="5"/>
  <c r="C192" i="5"/>
  <c r="D189" i="5"/>
  <c r="E355" i="5"/>
  <c r="E350" i="5"/>
  <c r="E341" i="5"/>
  <c r="E337" i="5"/>
  <c r="E333" i="5"/>
  <c r="E300" i="5"/>
  <c r="D296" i="5"/>
  <c r="D292" i="5"/>
  <c r="E288" i="5"/>
  <c r="D284" i="5"/>
  <c r="D280" i="5"/>
  <c r="D276" i="5"/>
  <c r="C260" i="5"/>
  <c r="E250" i="5"/>
  <c r="E234" i="5"/>
  <c r="E231" i="5"/>
  <c r="E228" i="5"/>
  <c r="D222" i="5"/>
  <c r="D216" i="5"/>
  <c r="C205" i="5"/>
  <c r="C197" i="5"/>
  <c r="C189" i="5"/>
  <c r="E360" i="5"/>
  <c r="C355" i="5"/>
  <c r="D350" i="5"/>
  <c r="E312" i="5"/>
  <c r="D308" i="5"/>
  <c r="D304" i="5"/>
  <c r="D300" i="5"/>
  <c r="C296" i="5"/>
  <c r="C292" i="5"/>
  <c r="C288" i="5"/>
  <c r="C253" i="5"/>
  <c r="D250" i="5"/>
  <c r="C247" i="5"/>
  <c r="D234" i="5"/>
  <c r="C231" i="5"/>
  <c r="C228" i="5"/>
  <c r="C222" i="5"/>
  <c r="D219" i="5"/>
  <c r="C216" i="5"/>
  <c r="E213" i="5"/>
  <c r="E210" i="5"/>
  <c r="E207" i="5"/>
  <c r="D202" i="5"/>
  <c r="E199" i="5"/>
  <c r="D194" i="5"/>
  <c r="E191" i="5"/>
  <c r="C360" i="5"/>
  <c r="C350" i="5"/>
  <c r="E345" i="5"/>
  <c r="D324" i="5"/>
  <c r="C320" i="5"/>
  <c r="C316" i="5"/>
  <c r="C312" i="5"/>
  <c r="C308" i="5"/>
  <c r="C304" i="5"/>
  <c r="C300" i="5"/>
  <c r="E279" i="5"/>
  <c r="C267" i="5"/>
  <c r="E256" i="5"/>
  <c r="C250" i="5"/>
  <c r="E237" i="5"/>
  <c r="C234" i="5"/>
  <c r="E364" i="5"/>
  <c r="E359" i="5"/>
  <c r="C354" i="5"/>
  <c r="C349" i="5"/>
  <c r="E344" i="5"/>
  <c r="E340" i="5"/>
  <c r="C336" i="5"/>
  <c r="C332" i="5"/>
  <c r="C328" i="5"/>
  <c r="C324" i="5"/>
  <c r="E303" i="5"/>
  <c r="E291" i="5"/>
  <c r="E287" i="5"/>
  <c r="E283" i="5"/>
  <c r="E259" i="5"/>
  <c r="D246" i="5"/>
  <c r="E243" i="5"/>
  <c r="E240" i="5"/>
  <c r="E227" i="5"/>
  <c r="E224" i="5"/>
  <c r="E218" i="5"/>
  <c r="C207" i="5"/>
  <c r="C199" i="5"/>
  <c r="C191" i="5"/>
  <c r="D186" i="5"/>
  <c r="D184" i="5"/>
  <c r="D182" i="5"/>
  <c r="D180" i="5"/>
  <c r="D178" i="5"/>
  <c r="D176" i="5"/>
  <c r="D174" i="5"/>
  <c r="D172" i="5"/>
  <c r="D170" i="5"/>
  <c r="D168" i="5"/>
  <c r="D166" i="5"/>
  <c r="D164" i="5"/>
  <c r="D162" i="5"/>
  <c r="D160" i="5"/>
  <c r="D158" i="5"/>
  <c r="D156" i="5"/>
  <c r="D154" i="5"/>
  <c r="D152" i="5"/>
  <c r="D150" i="5"/>
  <c r="D148" i="5"/>
  <c r="D146" i="5"/>
  <c r="D144" i="5"/>
  <c r="C369" i="5"/>
  <c r="E353" i="5"/>
  <c r="E315" i="5"/>
  <c r="E311" i="5"/>
  <c r="E307" i="5"/>
  <c r="C303" i="5"/>
  <c r="E299" i="5"/>
  <c r="E295" i="5"/>
  <c r="E262" i="5"/>
  <c r="C246" i="5"/>
  <c r="C243" i="5"/>
  <c r="E230" i="5"/>
  <c r="D224" i="5"/>
  <c r="E368" i="5"/>
  <c r="E363" i="5"/>
  <c r="C348" i="5"/>
  <c r="E343" i="5"/>
  <c r="C339" i="5"/>
  <c r="C335" i="5"/>
  <c r="C331" i="5"/>
  <c r="C319" i="5"/>
  <c r="E298" i="5"/>
  <c r="E294" i="5"/>
  <c r="D286" i="5"/>
  <c r="C282" i="5"/>
  <c r="C278" i="5"/>
  <c r="C368" i="5"/>
  <c r="E352" i="5"/>
  <c r="E334" i="5"/>
  <c r="E330" i="5"/>
  <c r="E326" i="5"/>
  <c r="D322" i="5"/>
  <c r="D318" i="5"/>
  <c r="D314" i="5"/>
  <c r="E281" i="5"/>
  <c r="C277" i="5"/>
  <c r="E273" i="5"/>
  <c r="E269" i="5"/>
  <c r="C265" i="5"/>
  <c r="C261" i="5"/>
  <c r="E322" i="5"/>
  <c r="C258" i="5"/>
  <c r="E249" i="5"/>
  <c r="D242" i="5"/>
  <c r="E220" i="5"/>
  <c r="D215" i="5"/>
  <c r="C196" i="5"/>
  <c r="D191" i="5"/>
  <c r="E187" i="5"/>
  <c r="C180" i="5"/>
  <c r="D177" i="5"/>
  <c r="C174" i="5"/>
  <c r="C166" i="5"/>
  <c r="C158" i="5"/>
  <c r="C150" i="5"/>
  <c r="E140" i="5"/>
  <c r="D138" i="5"/>
  <c r="C136" i="5"/>
  <c r="E127" i="5"/>
  <c r="D125" i="5"/>
  <c r="E319" i="5"/>
  <c r="C298" i="5"/>
  <c r="C269" i="5"/>
  <c r="C242" i="5"/>
  <c r="E233" i="5"/>
  <c r="E226" i="5"/>
  <c r="D220" i="5"/>
  <c r="E209" i="5"/>
  <c r="D187" i="5"/>
  <c r="E171" i="5"/>
  <c r="E163" i="5"/>
  <c r="E155" i="5"/>
  <c r="E147" i="5"/>
  <c r="E142" i="5"/>
  <c r="D140" i="5"/>
  <c r="C138" i="5"/>
  <c r="E129" i="5"/>
  <c r="D127" i="5"/>
  <c r="C343" i="5"/>
  <c r="E318" i="5"/>
  <c r="C281" i="5"/>
  <c r="C266" i="5"/>
  <c r="E255" i="5"/>
  <c r="E248" i="5"/>
  <c r="C233" i="5"/>
  <c r="D226" i="5"/>
  <c r="C220" i="5"/>
  <c r="D209" i="5"/>
  <c r="D204" i="5"/>
  <c r="E195" i="5"/>
  <c r="E186" i="5"/>
  <c r="E183" i="5"/>
  <c r="E176" i="5"/>
  <c r="D171" i="5"/>
  <c r="E168" i="5"/>
  <c r="D163" i="5"/>
  <c r="E160" i="5"/>
  <c r="D155" i="5"/>
  <c r="E152" i="5"/>
  <c r="D147" i="5"/>
  <c r="D142" i="5"/>
  <c r="C140" i="5"/>
  <c r="E131" i="5"/>
  <c r="D129" i="5"/>
  <c r="C315" i="5"/>
  <c r="C255" i="5"/>
  <c r="D248" i="5"/>
  <c r="C226" i="5"/>
  <c r="D218" i="5"/>
  <c r="C214" i="5"/>
  <c r="C204" i="5"/>
  <c r="D199" i="5"/>
  <c r="D195" i="5"/>
  <c r="C186" i="5"/>
  <c r="D183" i="5"/>
  <c r="C176" i="5"/>
  <c r="C168" i="5"/>
  <c r="C160" i="5"/>
  <c r="C152" i="5"/>
  <c r="E144" i="5"/>
  <c r="C142" i="5"/>
  <c r="E133" i="5"/>
  <c r="D131" i="5"/>
  <c r="E122" i="5"/>
  <c r="E120" i="5"/>
  <c r="E118" i="5"/>
  <c r="E116" i="5"/>
  <c r="E114" i="5"/>
  <c r="E112" i="5"/>
  <c r="E110" i="5"/>
  <c r="E108" i="5"/>
  <c r="E106" i="5"/>
  <c r="E104" i="5"/>
  <c r="E102" i="5"/>
  <c r="E100" i="5"/>
  <c r="E98" i="5"/>
  <c r="E96" i="5"/>
  <c r="E94" i="5"/>
  <c r="E92" i="5"/>
  <c r="E90" i="5"/>
  <c r="E88" i="5"/>
  <c r="E86" i="5"/>
  <c r="E84" i="5"/>
  <c r="E82" i="5"/>
  <c r="E80" i="5"/>
  <c r="E78" i="5"/>
  <c r="E76" i="5"/>
  <c r="E74" i="5"/>
  <c r="E72" i="5"/>
  <c r="E70" i="5"/>
  <c r="E68" i="5"/>
  <c r="E66" i="5"/>
  <c r="E64" i="5"/>
  <c r="E62" i="5"/>
  <c r="E60" i="5"/>
  <c r="E58" i="5"/>
  <c r="E56" i="5"/>
  <c r="E54" i="5"/>
  <c r="E52" i="5"/>
  <c r="D368" i="5"/>
  <c r="E265" i="5"/>
  <c r="C248" i="5"/>
  <c r="C239" i="5"/>
  <c r="C224" i="5"/>
  <c r="C218" i="5"/>
  <c r="D213" i="5"/>
  <c r="C195" i="5"/>
  <c r="D190" i="5"/>
  <c r="E182" i="5"/>
  <c r="E179" i="5"/>
  <c r="E173" i="5"/>
  <c r="E165" i="5"/>
  <c r="E157" i="5"/>
  <c r="E149" i="5"/>
  <c r="C144" i="5"/>
  <c r="E135" i="5"/>
  <c r="D133" i="5"/>
  <c r="E124" i="5"/>
  <c r="D122" i="5"/>
  <c r="D120" i="5"/>
  <c r="D118" i="5"/>
  <c r="D116" i="5"/>
  <c r="D114" i="5"/>
  <c r="D112" i="5"/>
  <c r="D110" i="5"/>
  <c r="D108" i="5"/>
  <c r="D106" i="5"/>
  <c r="D104" i="5"/>
  <c r="D102" i="5"/>
  <c r="D100" i="5"/>
  <c r="D98" i="5"/>
  <c r="D96" i="5"/>
  <c r="D94" i="5"/>
  <c r="D92" i="5"/>
  <c r="D90" i="5"/>
  <c r="D88" i="5"/>
  <c r="D86" i="5"/>
  <c r="D84" i="5"/>
  <c r="D82" i="5"/>
  <c r="D80" i="5"/>
  <c r="D78" i="5"/>
  <c r="D76" i="5"/>
  <c r="D74" i="5"/>
  <c r="D72" i="5"/>
  <c r="D70" i="5"/>
  <c r="D68" i="5"/>
  <c r="D66" i="5"/>
  <c r="D64" i="5"/>
  <c r="C311" i="5"/>
  <c r="E293" i="5"/>
  <c r="C232" i="5"/>
  <c r="E203" i="5"/>
  <c r="C194" i="5"/>
  <c r="C190" i="5"/>
  <c r="C182" i="5"/>
  <c r="D179" i="5"/>
  <c r="D173" i="5"/>
  <c r="E170" i="5"/>
  <c r="D165" i="5"/>
  <c r="E162" i="5"/>
  <c r="D157" i="5"/>
  <c r="E310" i="5"/>
  <c r="D274" i="5"/>
  <c r="D262" i="5"/>
  <c r="D230" i="5"/>
  <c r="E212" i="5"/>
  <c r="D207" i="5"/>
  <c r="D203" i="5"/>
  <c r="E193" i="5"/>
  <c r="E178" i="5"/>
  <c r="E358" i="5"/>
  <c r="E331" i="5"/>
  <c r="C307" i="5"/>
  <c r="C274" i="5"/>
  <c r="E252" i="5"/>
  <c r="E223" i="5"/>
  <c r="C203" i="5"/>
  <c r="D198" i="5"/>
  <c r="D193" i="5"/>
  <c r="E185" i="5"/>
  <c r="C178" i="5"/>
  <c r="E175" i="5"/>
  <c r="E306" i="5"/>
  <c r="C289" i="5"/>
  <c r="E261" i="5"/>
  <c r="D252" i="5"/>
  <c r="E245" i="5"/>
  <c r="E348" i="5"/>
  <c r="E323" i="5"/>
  <c r="C285" i="5"/>
  <c r="D258" i="5"/>
  <c r="E215" i="5"/>
  <c r="D210" i="5"/>
  <c r="C206" i="5"/>
  <c r="C201" i="5"/>
  <c r="D196" i="5"/>
  <c r="E180" i="5"/>
  <c r="E177" i="5"/>
  <c r="E174" i="5"/>
  <c r="E221" i="5"/>
  <c r="E201" i="5"/>
  <c r="E184" i="5"/>
  <c r="C172" i="5"/>
  <c r="E161" i="5"/>
  <c r="D151" i="5"/>
  <c r="C146" i="5"/>
  <c r="C124" i="5"/>
  <c r="D121" i="5"/>
  <c r="D115" i="5"/>
  <c r="D109" i="5"/>
  <c r="D103" i="5"/>
  <c r="D97" i="5"/>
  <c r="D91" i="5"/>
  <c r="D85" i="5"/>
  <c r="D79" i="5"/>
  <c r="D73" i="5"/>
  <c r="D67" i="5"/>
  <c r="E61" i="5"/>
  <c r="E53" i="5"/>
  <c r="D48" i="5"/>
  <c r="C46" i="5"/>
  <c r="E37" i="5"/>
  <c r="E35" i="5"/>
  <c r="E33" i="5"/>
  <c r="E31" i="5"/>
  <c r="E29" i="5"/>
  <c r="E27" i="5"/>
  <c r="E25" i="5"/>
  <c r="E23" i="5"/>
  <c r="E21" i="5"/>
  <c r="E19" i="5"/>
  <c r="E17" i="5"/>
  <c r="E15" i="5"/>
  <c r="E13" i="5"/>
  <c r="E11" i="5"/>
  <c r="C353" i="5"/>
  <c r="D221" i="5"/>
  <c r="D201" i="5"/>
  <c r="C184" i="5"/>
  <c r="E166" i="5"/>
  <c r="D161" i="5"/>
  <c r="C121" i="5"/>
  <c r="C115" i="5"/>
  <c r="C109" i="5"/>
  <c r="C103" i="5"/>
  <c r="C97" i="5"/>
  <c r="C91" i="5"/>
  <c r="C85" i="5"/>
  <c r="C79" i="5"/>
  <c r="C73" i="5"/>
  <c r="C67" i="5"/>
  <c r="D61" i="5"/>
  <c r="D58" i="5"/>
  <c r="D53" i="5"/>
  <c r="E50" i="5"/>
  <c r="C48" i="5"/>
  <c r="E39" i="5"/>
  <c r="D37" i="5"/>
  <c r="D35" i="5"/>
  <c r="D33" i="5"/>
  <c r="D31" i="5"/>
  <c r="D29" i="5"/>
  <c r="D27" i="5"/>
  <c r="D25" i="5"/>
  <c r="D23" i="5"/>
  <c r="D21" i="5"/>
  <c r="D19" i="5"/>
  <c r="D17" i="5"/>
  <c r="D15" i="5"/>
  <c r="D13" i="5"/>
  <c r="D11" i="5"/>
  <c r="E217" i="5"/>
  <c r="C198" i="5"/>
  <c r="C170" i="5"/>
  <c r="E154" i="5"/>
  <c r="E138" i="5"/>
  <c r="E134" i="5"/>
  <c r="E130" i="5"/>
  <c r="C61" i="5"/>
  <c r="C58" i="5"/>
  <c r="C53" i="5"/>
  <c r="D50" i="5"/>
  <c r="E41" i="5"/>
  <c r="D39" i="5"/>
  <c r="C37" i="5"/>
  <c r="C35" i="5"/>
  <c r="C33" i="5"/>
  <c r="C31" i="5"/>
  <c r="C29" i="5"/>
  <c r="C27" i="5"/>
  <c r="C25" i="5"/>
  <c r="C23" i="5"/>
  <c r="C21" i="5"/>
  <c r="C19" i="5"/>
  <c r="C17" i="5"/>
  <c r="C15" i="5"/>
  <c r="C13" i="5"/>
  <c r="C11" i="5"/>
  <c r="C16" i="4"/>
  <c r="C14" i="4"/>
  <c r="C12" i="4"/>
  <c r="C327" i="5"/>
  <c r="C245" i="5"/>
  <c r="E181" i="5"/>
  <c r="E159" i="5"/>
  <c r="C154" i="5"/>
  <c r="E150" i="5"/>
  <c r="E141" i="5"/>
  <c r="E137" i="5"/>
  <c r="D134" i="5"/>
  <c r="D130" i="5"/>
  <c r="E126" i="5"/>
  <c r="C120" i="5"/>
  <c r="E117" i="5"/>
  <c r="C114" i="5"/>
  <c r="E111" i="5"/>
  <c r="C108" i="5"/>
  <c r="E105" i="5"/>
  <c r="C102" i="5"/>
  <c r="E99" i="5"/>
  <c r="C96" i="5"/>
  <c r="E93" i="5"/>
  <c r="C90" i="5"/>
  <c r="E87" i="5"/>
  <c r="C84" i="5"/>
  <c r="E81" i="5"/>
  <c r="C78" i="5"/>
  <c r="E75" i="5"/>
  <c r="C72" i="5"/>
  <c r="E69" i="5"/>
  <c r="C66" i="5"/>
  <c r="E63" i="5"/>
  <c r="E55" i="5"/>
  <c r="C50" i="5"/>
  <c r="E43" i="5"/>
  <c r="D41" i="5"/>
  <c r="C39" i="5"/>
  <c r="D181" i="5"/>
  <c r="E164" i="5"/>
  <c r="D159" i="5"/>
  <c r="D149" i="5"/>
  <c r="E145" i="5"/>
  <c r="D141" i="5"/>
  <c r="D137" i="5"/>
  <c r="C134" i="5"/>
  <c r="C130" i="5"/>
  <c r="D126" i="5"/>
  <c r="E123" i="5"/>
  <c r="D117" i="5"/>
  <c r="D111" i="5"/>
  <c r="D105" i="5"/>
  <c r="D99" i="5"/>
  <c r="D93" i="5"/>
  <c r="D87" i="5"/>
  <c r="D81" i="5"/>
  <c r="D75" i="5"/>
  <c r="D69" i="5"/>
  <c r="D63" i="5"/>
  <c r="D60" i="5"/>
  <c r="D55" i="5"/>
  <c r="D52" i="5"/>
  <c r="E45" i="5"/>
  <c r="D43" i="5"/>
  <c r="C41" i="5"/>
  <c r="B5" i="5"/>
  <c r="E236" i="5"/>
  <c r="C193" i="5"/>
  <c r="C164" i="5"/>
  <c r="D145" i="5"/>
  <c r="C126" i="5"/>
  <c r="D123" i="5"/>
  <c r="C117" i="5"/>
  <c r="C111" i="5"/>
  <c r="C105" i="5"/>
  <c r="C99" i="5"/>
  <c r="C93" i="5"/>
  <c r="C87" i="5"/>
  <c r="C81" i="5"/>
  <c r="C75" i="5"/>
  <c r="C69" i="5"/>
  <c r="C63" i="5"/>
  <c r="C60" i="5"/>
  <c r="C55" i="5"/>
  <c r="C52" i="5"/>
  <c r="E47" i="5"/>
  <c r="D45" i="5"/>
  <c r="C43" i="5"/>
  <c r="E302" i="5"/>
  <c r="D236" i="5"/>
  <c r="E169" i="5"/>
  <c r="E57" i="5"/>
  <c r="D47" i="5"/>
  <c r="C45" i="5"/>
  <c r="E38" i="5"/>
  <c r="E36" i="5"/>
  <c r="E34" i="5"/>
  <c r="E32" i="5"/>
  <c r="E30" i="5"/>
  <c r="E28" i="5"/>
  <c r="E26" i="5"/>
  <c r="E24" i="5"/>
  <c r="E22" i="5"/>
  <c r="E20" i="5"/>
  <c r="E18" i="5"/>
  <c r="E16" i="5"/>
  <c r="E14" i="5"/>
  <c r="E12" i="5"/>
  <c r="E10" i="5"/>
  <c r="B4" i="5"/>
  <c r="C236" i="5"/>
  <c r="E211" i="5"/>
  <c r="D169" i="5"/>
  <c r="E158" i="5"/>
  <c r="E153" i="5"/>
  <c r="E148" i="5"/>
  <c r="C122" i="5"/>
  <c r="E119" i="5"/>
  <c r="C116" i="5"/>
  <c r="E113" i="5"/>
  <c r="C110" i="5"/>
  <c r="E107" i="5"/>
  <c r="C104" i="5"/>
  <c r="E101" i="5"/>
  <c r="C98" i="5"/>
  <c r="E95" i="5"/>
  <c r="C92" i="5"/>
  <c r="E89" i="5"/>
  <c r="C86" i="5"/>
  <c r="E83" i="5"/>
  <c r="C80" i="5"/>
  <c r="E77" i="5"/>
  <c r="C74" i="5"/>
  <c r="E71" i="5"/>
  <c r="C68" i="5"/>
  <c r="E65" i="5"/>
  <c r="D62" i="5"/>
  <c r="D57" i="5"/>
  <c r="D54" i="5"/>
  <c r="E49" i="5"/>
  <c r="C47" i="5"/>
  <c r="E40" i="5"/>
  <c r="D38" i="5"/>
  <c r="D36" i="5"/>
  <c r="D34" i="5"/>
  <c r="D32" i="5"/>
  <c r="D30" i="5"/>
  <c r="D28" i="5"/>
  <c r="D26" i="5"/>
  <c r="D24" i="5"/>
  <c r="D22" i="5"/>
  <c r="D20" i="5"/>
  <c r="D18" i="5"/>
  <c r="D16" i="5"/>
  <c r="D14" i="5"/>
  <c r="D12" i="5"/>
  <c r="D10" i="5"/>
  <c r="D188" i="5"/>
  <c r="D175" i="5"/>
  <c r="C162" i="5"/>
  <c r="D153" i="5"/>
  <c r="C148" i="5"/>
  <c r="E136" i="5"/>
  <c r="E132" i="5"/>
  <c r="E128" i="5"/>
  <c r="D119" i="5"/>
  <c r="D113" i="5"/>
  <c r="D107" i="5"/>
  <c r="D101" i="5"/>
  <c r="D95" i="5"/>
  <c r="D89" i="5"/>
  <c r="D83" i="5"/>
  <c r="D77" i="5"/>
  <c r="D71" i="5"/>
  <c r="D65" i="5"/>
  <c r="C62" i="5"/>
  <c r="C57" i="5"/>
  <c r="C54" i="5"/>
  <c r="D49" i="5"/>
  <c r="E42" i="5"/>
  <c r="D40" i="5"/>
  <c r="C38" i="5"/>
  <c r="C36" i="5"/>
  <c r="C34" i="5"/>
  <c r="C32" i="5"/>
  <c r="C30" i="5"/>
  <c r="C28" i="5"/>
  <c r="C26" i="5"/>
  <c r="C24" i="5"/>
  <c r="C22" i="5"/>
  <c r="C20" i="5"/>
  <c r="C18" i="5"/>
  <c r="C16" i="5"/>
  <c r="C14" i="5"/>
  <c r="C12" i="5"/>
  <c r="C10" i="5"/>
  <c r="C15" i="4"/>
  <c r="C13" i="4"/>
  <c r="C11" i="4"/>
  <c r="C273" i="5"/>
  <c r="C202" i="5"/>
  <c r="D185" i="5"/>
  <c r="E172" i="5"/>
  <c r="C156" i="5"/>
  <c r="E151" i="5"/>
  <c r="E146" i="5"/>
  <c r="D124" i="5"/>
  <c r="E121" i="5"/>
  <c r="C118" i="5"/>
  <c r="E115" i="5"/>
  <c r="C112" i="5"/>
  <c r="E109" i="5"/>
  <c r="C106" i="5"/>
  <c r="E103" i="5"/>
  <c r="C100" i="5"/>
  <c r="D136" i="5"/>
  <c r="E51" i="5"/>
  <c r="D42" i="5"/>
  <c r="C270" i="5"/>
  <c r="D135" i="5"/>
  <c r="D51" i="5"/>
  <c r="C42" i="5"/>
  <c r="B4" i="4"/>
  <c r="C229" i="5"/>
  <c r="D132" i="5"/>
  <c r="C113" i="5"/>
  <c r="E97" i="5"/>
  <c r="E85" i="5"/>
  <c r="E73" i="5"/>
  <c r="C51" i="5"/>
  <c r="E156" i="5"/>
  <c r="C132" i="5"/>
  <c r="C95" i="5"/>
  <c r="C83" i="5"/>
  <c r="C71" i="5"/>
  <c r="E59" i="5"/>
  <c r="C49" i="5"/>
  <c r="C40" i="5"/>
  <c r="D128" i="5"/>
  <c r="D59" i="5"/>
  <c r="D206" i="5"/>
  <c r="C128" i="5"/>
  <c r="C94" i="5"/>
  <c r="C82" i="5"/>
  <c r="C70" i="5"/>
  <c r="C59" i="5"/>
  <c r="E48" i="5"/>
  <c r="C188" i="5"/>
  <c r="E125" i="5"/>
  <c r="C107" i="5"/>
  <c r="D56" i="5"/>
  <c r="E46" i="5"/>
  <c r="E143" i="5"/>
  <c r="E91" i="5"/>
  <c r="E79" i="5"/>
  <c r="E67" i="5"/>
  <c r="C56" i="5"/>
  <c r="D46" i="5"/>
  <c r="D143" i="5"/>
  <c r="C89" i="5"/>
  <c r="C77" i="5"/>
  <c r="C65" i="5"/>
  <c r="E44" i="5"/>
  <c r="E167" i="5"/>
  <c r="E139" i="5"/>
  <c r="C119" i="5"/>
  <c r="C101" i="5"/>
  <c r="D44" i="5"/>
  <c r="D167" i="5"/>
  <c r="D139" i="5"/>
  <c r="C88" i="5"/>
  <c r="C76" i="5"/>
  <c r="C64" i="5"/>
  <c r="C44" i="5"/>
  <c r="I4" i="5" l="1"/>
  <c r="I6" i="5" s="1"/>
  <c r="F10" i="5"/>
  <c r="B11" i="5" s="1"/>
  <c r="F11" i="5" s="1"/>
  <c r="B12" i="5" s="1"/>
  <c r="F12" i="5" s="1"/>
  <c r="B13" i="5" s="1"/>
  <c r="F13" i="5" s="1"/>
  <c r="B14" i="5" s="1"/>
  <c r="F14" i="5" s="1"/>
  <c r="B15" i="5" s="1"/>
  <c r="F15" i="5" s="1"/>
  <c r="B16" i="5" s="1"/>
  <c r="F16" i="5" s="1"/>
  <c r="B17" i="5" s="1"/>
  <c r="F17" i="5" s="1"/>
  <c r="B18" i="5" s="1"/>
  <c r="F18" i="5" s="1"/>
  <c r="B19" i="5" s="1"/>
  <c r="F19" i="5" s="1"/>
  <c r="B20" i="5" s="1"/>
  <c r="F20" i="5" s="1"/>
  <c r="B21" i="5" s="1"/>
  <c r="F21" i="5" s="1"/>
  <c r="B22" i="5" s="1"/>
  <c r="F22" i="5" s="1"/>
  <c r="B23" i="5" s="1"/>
  <c r="F23" i="5" s="1"/>
  <c r="B24" i="5" s="1"/>
  <c r="F24" i="5" s="1"/>
  <c r="B25" i="5" s="1"/>
  <c r="F25" i="5" s="1"/>
  <c r="B26" i="5" s="1"/>
  <c r="F26" i="5" s="1"/>
  <c r="B27" i="5" s="1"/>
  <c r="F27" i="5" s="1"/>
  <c r="B28" i="5" s="1"/>
  <c r="F28" i="5" s="1"/>
  <c r="B29" i="5" s="1"/>
  <c r="F29" i="5" s="1"/>
  <c r="B30" i="5" s="1"/>
  <c r="F30" i="5" s="1"/>
  <c r="B31" i="5" s="1"/>
  <c r="F31" i="5" s="1"/>
  <c r="B32" i="5" s="1"/>
  <c r="F32" i="5" s="1"/>
  <c r="B33" i="5" s="1"/>
  <c r="F33" i="5" s="1"/>
  <c r="B34" i="5" s="1"/>
  <c r="F34" i="5" s="1"/>
  <c r="B35" i="5" s="1"/>
  <c r="F35" i="5" s="1"/>
  <c r="B36" i="5" s="1"/>
  <c r="F36" i="5" s="1"/>
  <c r="B37" i="5" s="1"/>
  <c r="F37" i="5" s="1"/>
  <c r="B38" i="5" s="1"/>
  <c r="F38" i="5" s="1"/>
  <c r="B39" i="5" s="1"/>
  <c r="F39" i="5" s="1"/>
  <c r="B40" i="5" s="1"/>
  <c r="F40" i="5" s="1"/>
  <c r="B41" i="5" s="1"/>
  <c r="F41" i="5" s="1"/>
  <c r="B42" i="5" s="1"/>
  <c r="F42" i="5" s="1"/>
  <c r="B43" i="5" s="1"/>
  <c r="F43" i="5" s="1"/>
  <c r="B44" i="5" s="1"/>
  <c r="F44" i="5" s="1"/>
  <c r="B45" i="5" s="1"/>
  <c r="F45" i="5" s="1"/>
  <c r="B46" i="5" s="1"/>
  <c r="F46" i="5" s="1"/>
  <c r="B47" i="5" s="1"/>
  <c r="F47" i="5" s="1"/>
  <c r="B48" i="5" s="1"/>
  <c r="F48" i="5" s="1"/>
  <c r="B49" i="5" s="1"/>
  <c r="F49" i="5" s="1"/>
  <c r="B50" i="5" s="1"/>
  <c r="F50" i="5" s="1"/>
  <c r="B51" i="5" s="1"/>
  <c r="F51" i="5" s="1"/>
  <c r="B52" i="5" s="1"/>
  <c r="F52" i="5" s="1"/>
  <c r="B53" i="5" s="1"/>
  <c r="F53" i="5" s="1"/>
  <c r="B54" i="5" s="1"/>
  <c r="F54" i="5" s="1"/>
  <c r="B55" i="5" s="1"/>
  <c r="F55" i="5" s="1"/>
  <c r="B56" i="5" s="1"/>
  <c r="F56" i="5" s="1"/>
  <c r="B57" i="5" s="1"/>
  <c r="F57" i="5" s="1"/>
  <c r="B58" i="5" s="1"/>
  <c r="F58" i="5" s="1"/>
  <c r="B59" i="5" s="1"/>
  <c r="F59" i="5" s="1"/>
  <c r="B60" i="5" s="1"/>
  <c r="F60" i="5" s="1"/>
  <c r="B61" i="5" s="1"/>
  <c r="F61" i="5" s="1"/>
  <c r="B62" i="5" s="1"/>
  <c r="F62" i="5" s="1"/>
  <c r="B63" i="5" s="1"/>
  <c r="F63" i="5" s="1"/>
  <c r="B64" i="5" s="1"/>
  <c r="F64" i="5" s="1"/>
  <c r="B65" i="5" s="1"/>
  <c r="F65" i="5" s="1"/>
  <c r="B66" i="5" s="1"/>
  <c r="F66" i="5" s="1"/>
  <c r="B67" i="5" s="1"/>
  <c r="F67" i="5" s="1"/>
  <c r="B68" i="5" s="1"/>
  <c r="F68" i="5" s="1"/>
  <c r="B69" i="5" s="1"/>
  <c r="F69" i="5" s="1"/>
  <c r="B70" i="5" s="1"/>
  <c r="F70" i="5" s="1"/>
  <c r="B71" i="5" s="1"/>
  <c r="F71" i="5" s="1"/>
  <c r="B72" i="5" s="1"/>
  <c r="F72" i="5" s="1"/>
  <c r="B73" i="5" s="1"/>
  <c r="F73" i="5" s="1"/>
  <c r="B74" i="5" s="1"/>
  <c r="F74" i="5" s="1"/>
  <c r="B75" i="5" s="1"/>
  <c r="F75" i="5" s="1"/>
  <c r="B76" i="5" s="1"/>
  <c r="F76" i="5" s="1"/>
  <c r="B77" i="5" s="1"/>
  <c r="F77" i="5" s="1"/>
  <c r="B78" i="5" s="1"/>
  <c r="F78" i="5" s="1"/>
  <c r="B79" i="5" s="1"/>
  <c r="F79" i="5" s="1"/>
  <c r="B80" i="5" s="1"/>
  <c r="F80" i="5" s="1"/>
  <c r="B81" i="5" s="1"/>
  <c r="F81" i="5" s="1"/>
  <c r="B82" i="5" s="1"/>
  <c r="F82" i="5" s="1"/>
  <c r="B83" i="5" s="1"/>
  <c r="F83" i="5" s="1"/>
  <c r="B84" i="5" s="1"/>
  <c r="F84" i="5" s="1"/>
  <c r="B85" i="5" s="1"/>
  <c r="F85" i="5" s="1"/>
  <c r="B86" i="5" s="1"/>
  <c r="F86" i="5" s="1"/>
  <c r="B87" i="5" s="1"/>
  <c r="F87" i="5" s="1"/>
  <c r="B88" i="5" s="1"/>
  <c r="F88" i="5" s="1"/>
  <c r="B89" i="5" s="1"/>
  <c r="F89" i="5" s="1"/>
  <c r="B90" i="5" s="1"/>
  <c r="F90" i="5" s="1"/>
  <c r="B91" i="5" s="1"/>
  <c r="F91" i="5" s="1"/>
  <c r="B92" i="5" s="1"/>
  <c r="F92" i="5" s="1"/>
  <c r="B93" i="5" s="1"/>
  <c r="F93" i="5" s="1"/>
  <c r="B94" i="5" s="1"/>
  <c r="F94" i="5" s="1"/>
  <c r="B95" i="5" s="1"/>
  <c r="F95" i="5" s="1"/>
  <c r="B96" i="5" s="1"/>
  <c r="F96" i="5" s="1"/>
  <c r="B97" i="5" s="1"/>
  <c r="F97" i="5" s="1"/>
  <c r="B98" i="5" s="1"/>
  <c r="F98" i="5" s="1"/>
  <c r="B99" i="5" s="1"/>
  <c r="F99" i="5" s="1"/>
  <c r="B100" i="5" s="1"/>
  <c r="F100" i="5" s="1"/>
  <c r="B101" i="5" s="1"/>
  <c r="F101" i="5" s="1"/>
  <c r="B102" i="5" s="1"/>
  <c r="F102" i="5" s="1"/>
  <c r="B103" i="5" s="1"/>
  <c r="F103" i="5" s="1"/>
  <c r="B104" i="5" s="1"/>
  <c r="F104" i="5" s="1"/>
  <c r="B105" i="5" s="1"/>
  <c r="F105" i="5" s="1"/>
  <c r="B106" i="5" s="1"/>
  <c r="F106" i="5" s="1"/>
  <c r="B107" i="5" s="1"/>
  <c r="F107" i="5" s="1"/>
  <c r="B108" i="5" s="1"/>
  <c r="F108" i="5" s="1"/>
  <c r="B109" i="5" s="1"/>
  <c r="F109" i="5" s="1"/>
  <c r="B110" i="5" s="1"/>
  <c r="F110" i="5" s="1"/>
  <c r="B111" i="5" s="1"/>
  <c r="F111" i="5" s="1"/>
  <c r="B112" i="5" s="1"/>
  <c r="F112" i="5" s="1"/>
  <c r="B113" i="5" s="1"/>
  <c r="F113" i="5" s="1"/>
  <c r="B114" i="5" s="1"/>
  <c r="F114" i="5" s="1"/>
  <c r="B115" i="5" s="1"/>
  <c r="F115" i="5" s="1"/>
  <c r="B116" i="5" s="1"/>
  <c r="F116" i="5" s="1"/>
  <c r="B117" i="5" s="1"/>
  <c r="F117" i="5" s="1"/>
  <c r="B118" i="5" s="1"/>
  <c r="F118" i="5" s="1"/>
  <c r="B119" i="5" s="1"/>
  <c r="F119" i="5" s="1"/>
  <c r="B120" i="5" s="1"/>
  <c r="F120" i="5" s="1"/>
  <c r="B121" i="5" s="1"/>
  <c r="F121" i="5" s="1"/>
  <c r="B122" i="5" s="1"/>
  <c r="F122" i="5" s="1"/>
  <c r="B123" i="5" s="1"/>
  <c r="F123" i="5" s="1"/>
  <c r="B124" i="5" s="1"/>
  <c r="F124" i="5" s="1"/>
  <c r="B125" i="5" s="1"/>
  <c r="F125" i="5" s="1"/>
  <c r="B126" i="5" s="1"/>
  <c r="F126" i="5" s="1"/>
  <c r="B127" i="5" s="1"/>
  <c r="F127" i="5" s="1"/>
  <c r="B128" i="5" s="1"/>
  <c r="F128" i="5" s="1"/>
  <c r="B129" i="5" s="1"/>
  <c r="F129" i="5" s="1"/>
  <c r="B130" i="5" s="1"/>
  <c r="F130" i="5" s="1"/>
  <c r="B131" i="5" s="1"/>
  <c r="F131" i="5" s="1"/>
  <c r="B132" i="5" s="1"/>
  <c r="F132" i="5" s="1"/>
  <c r="B133" i="5" s="1"/>
  <c r="F133" i="5" s="1"/>
  <c r="B134" i="5" s="1"/>
  <c r="F134" i="5" s="1"/>
  <c r="B135" i="5" s="1"/>
  <c r="F135" i="5" s="1"/>
  <c r="B136" i="5" s="1"/>
  <c r="F136" i="5" s="1"/>
  <c r="B137" i="5" s="1"/>
  <c r="F137" i="5" s="1"/>
  <c r="B138" i="5" s="1"/>
  <c r="F138" i="5" s="1"/>
  <c r="B139" i="5" s="1"/>
  <c r="F139" i="5" s="1"/>
  <c r="B140" i="5" s="1"/>
  <c r="F140" i="5" s="1"/>
  <c r="B141" i="5" s="1"/>
  <c r="F141" i="5" s="1"/>
  <c r="B142" i="5" s="1"/>
  <c r="F142" i="5" s="1"/>
  <c r="B143" i="5" s="1"/>
  <c r="F143" i="5" s="1"/>
  <c r="B144" i="5" s="1"/>
  <c r="F144" i="5" s="1"/>
  <c r="B145" i="5" s="1"/>
  <c r="F145" i="5" s="1"/>
  <c r="B146" i="5" s="1"/>
  <c r="F146" i="5" s="1"/>
  <c r="B147" i="5" s="1"/>
  <c r="F147" i="5" s="1"/>
  <c r="B148" i="5" s="1"/>
  <c r="F148" i="5" s="1"/>
  <c r="B149" i="5" s="1"/>
  <c r="F149" i="5" s="1"/>
  <c r="B150" i="5" s="1"/>
  <c r="F150" i="5" s="1"/>
  <c r="B151" i="5" s="1"/>
  <c r="F151" i="5" s="1"/>
  <c r="B152" i="5" s="1"/>
  <c r="F152" i="5" s="1"/>
  <c r="B153" i="5" s="1"/>
  <c r="F153" i="5" s="1"/>
  <c r="B154" i="5" s="1"/>
  <c r="F154" i="5" s="1"/>
  <c r="B155" i="5" s="1"/>
  <c r="F155" i="5" s="1"/>
  <c r="B156" i="5" s="1"/>
  <c r="F156" i="5" s="1"/>
  <c r="B157" i="5" s="1"/>
  <c r="F157" i="5" s="1"/>
  <c r="B158" i="5" s="1"/>
  <c r="F158" i="5" s="1"/>
  <c r="B159" i="5" s="1"/>
  <c r="F159" i="5" s="1"/>
  <c r="B160" i="5" s="1"/>
  <c r="F160" i="5" s="1"/>
  <c r="B161" i="5" s="1"/>
  <c r="F161" i="5" s="1"/>
  <c r="B162" i="5" s="1"/>
  <c r="F162" i="5" s="1"/>
  <c r="B163" i="5" s="1"/>
  <c r="F163" i="5" s="1"/>
  <c r="B164" i="5" s="1"/>
  <c r="F164" i="5" s="1"/>
  <c r="B165" i="5" s="1"/>
  <c r="F165" i="5" s="1"/>
  <c r="B166" i="5" s="1"/>
  <c r="F166" i="5" s="1"/>
  <c r="B167" i="5" s="1"/>
  <c r="F167" i="5" s="1"/>
  <c r="B168" i="5" s="1"/>
  <c r="F168" i="5" s="1"/>
  <c r="B169" i="5" s="1"/>
  <c r="F169" i="5" s="1"/>
  <c r="B170" i="5" s="1"/>
  <c r="F170" i="5" s="1"/>
  <c r="B171" i="5" s="1"/>
  <c r="F171" i="5" s="1"/>
  <c r="B172" i="5" s="1"/>
  <c r="F172" i="5" s="1"/>
  <c r="B173" i="5" s="1"/>
  <c r="F173" i="5" s="1"/>
  <c r="B174" i="5" s="1"/>
  <c r="F174" i="5" s="1"/>
  <c r="B175" i="5" s="1"/>
  <c r="F175" i="5" s="1"/>
  <c r="B176" i="5" s="1"/>
  <c r="F176" i="5" s="1"/>
  <c r="B177" i="5" s="1"/>
  <c r="F177" i="5" s="1"/>
  <c r="B178" i="5" s="1"/>
  <c r="F178" i="5" s="1"/>
  <c r="B179" i="5" s="1"/>
  <c r="F179" i="5" s="1"/>
  <c r="B180" i="5" s="1"/>
  <c r="F180" i="5" s="1"/>
  <c r="B181" i="5" s="1"/>
  <c r="F181" i="5" s="1"/>
  <c r="B182" i="5" s="1"/>
  <c r="F182" i="5" s="1"/>
  <c r="B183" i="5" s="1"/>
  <c r="F183" i="5" s="1"/>
  <c r="B184" i="5" s="1"/>
  <c r="F184" i="5" s="1"/>
  <c r="B185" i="5" s="1"/>
  <c r="F185" i="5" s="1"/>
  <c r="B186" i="5" s="1"/>
  <c r="F186" i="5" s="1"/>
  <c r="B187" i="5" s="1"/>
  <c r="F187" i="5" s="1"/>
  <c r="B188" i="5" s="1"/>
  <c r="F188" i="5" s="1"/>
  <c r="B189" i="5" s="1"/>
  <c r="F189" i="5" s="1"/>
  <c r="B190" i="5" s="1"/>
  <c r="F190" i="5" s="1"/>
  <c r="B191" i="5" s="1"/>
  <c r="F191" i="5" s="1"/>
  <c r="B192" i="5" s="1"/>
  <c r="F192" i="5" s="1"/>
  <c r="B193" i="5" s="1"/>
  <c r="F193" i="5" s="1"/>
  <c r="B194" i="5" s="1"/>
  <c r="F194" i="5" s="1"/>
  <c r="B195" i="5" s="1"/>
  <c r="F195" i="5" s="1"/>
  <c r="B196" i="5" s="1"/>
  <c r="F196" i="5" s="1"/>
  <c r="B197" i="5" s="1"/>
  <c r="F197" i="5" s="1"/>
  <c r="B198" i="5" s="1"/>
  <c r="F198" i="5" s="1"/>
  <c r="B199" i="5" s="1"/>
  <c r="F199" i="5" s="1"/>
  <c r="B200" i="5" s="1"/>
  <c r="F200" i="5" s="1"/>
  <c r="B201" i="5" s="1"/>
  <c r="F201" i="5" s="1"/>
  <c r="B202" i="5" s="1"/>
  <c r="F202" i="5" s="1"/>
  <c r="B203" i="5" s="1"/>
  <c r="F203" i="5" s="1"/>
  <c r="B204" i="5" s="1"/>
  <c r="F204" i="5" s="1"/>
  <c r="B205" i="5" s="1"/>
  <c r="F205" i="5" s="1"/>
  <c r="B206" i="5" s="1"/>
  <c r="F206" i="5" s="1"/>
  <c r="B207" i="5" s="1"/>
  <c r="F207" i="5" s="1"/>
  <c r="B208" i="5" s="1"/>
  <c r="F208" i="5" s="1"/>
  <c r="B209" i="5" s="1"/>
  <c r="F209" i="5" s="1"/>
  <c r="B210" i="5" s="1"/>
  <c r="F210" i="5" s="1"/>
  <c r="B211" i="5" s="1"/>
  <c r="F211" i="5" s="1"/>
  <c r="B212" i="5" s="1"/>
  <c r="F212" i="5" s="1"/>
  <c r="B213" i="5" s="1"/>
  <c r="F213" i="5" s="1"/>
  <c r="B214" i="5" s="1"/>
  <c r="F214" i="5" s="1"/>
  <c r="B215" i="5" s="1"/>
  <c r="F215" i="5" s="1"/>
  <c r="B216" i="5" s="1"/>
  <c r="F216" i="5" s="1"/>
  <c r="B217" i="5" s="1"/>
  <c r="F217" i="5" s="1"/>
  <c r="B218" i="5" s="1"/>
  <c r="F218" i="5" s="1"/>
  <c r="B219" i="5" s="1"/>
  <c r="F219" i="5" s="1"/>
  <c r="B220" i="5" s="1"/>
  <c r="F220" i="5" s="1"/>
  <c r="B221" i="5" s="1"/>
  <c r="F221" i="5" s="1"/>
  <c r="B222" i="5" s="1"/>
  <c r="F222" i="5" s="1"/>
  <c r="B223" i="5" s="1"/>
  <c r="F223" i="5" s="1"/>
  <c r="B224" i="5" s="1"/>
  <c r="F224" i="5" s="1"/>
  <c r="B225" i="5" s="1"/>
  <c r="F225" i="5" s="1"/>
  <c r="B226" i="5" s="1"/>
  <c r="F226" i="5" s="1"/>
  <c r="B227" i="5" s="1"/>
  <c r="F227" i="5" s="1"/>
  <c r="B228" i="5" s="1"/>
  <c r="F228" i="5" s="1"/>
  <c r="B229" i="5" s="1"/>
  <c r="F229" i="5" s="1"/>
  <c r="B230" i="5" s="1"/>
  <c r="F230" i="5" s="1"/>
  <c r="B231" i="5" s="1"/>
  <c r="F231" i="5" s="1"/>
  <c r="B232" i="5" s="1"/>
  <c r="F232" i="5" s="1"/>
  <c r="B233" i="5" s="1"/>
  <c r="F233" i="5" s="1"/>
  <c r="B234" i="5" s="1"/>
  <c r="F234" i="5" s="1"/>
  <c r="B235" i="5" s="1"/>
  <c r="F235" i="5" s="1"/>
  <c r="B236" i="5" s="1"/>
  <c r="F236" i="5" s="1"/>
  <c r="B237" i="5" s="1"/>
  <c r="F237" i="5" s="1"/>
  <c r="B238" i="5" s="1"/>
  <c r="F238" i="5" s="1"/>
  <c r="B239" i="5" s="1"/>
  <c r="F239" i="5" s="1"/>
  <c r="B240" i="5" s="1"/>
  <c r="F240" i="5" s="1"/>
  <c r="B241" i="5" s="1"/>
  <c r="F241" i="5" s="1"/>
  <c r="B242" i="5" s="1"/>
  <c r="F242" i="5" s="1"/>
  <c r="B243" i="5" s="1"/>
  <c r="F243" i="5" s="1"/>
  <c r="B244" i="5" s="1"/>
  <c r="F244" i="5" s="1"/>
  <c r="B245" i="5" s="1"/>
  <c r="F245" i="5" s="1"/>
  <c r="B246" i="5" s="1"/>
  <c r="F246" i="5" s="1"/>
  <c r="B247" i="5" s="1"/>
  <c r="F247" i="5" s="1"/>
  <c r="B248" i="5" s="1"/>
  <c r="F248" i="5" s="1"/>
  <c r="B249" i="5" s="1"/>
  <c r="F249" i="5" s="1"/>
  <c r="B250" i="5" s="1"/>
  <c r="F250" i="5" s="1"/>
  <c r="B251" i="5" s="1"/>
  <c r="F251" i="5" s="1"/>
  <c r="B252" i="5" s="1"/>
  <c r="F252" i="5" s="1"/>
  <c r="B253" i="5" s="1"/>
  <c r="F253" i="5" s="1"/>
  <c r="B254" i="5" s="1"/>
  <c r="F254" i="5" s="1"/>
  <c r="B255" i="5" s="1"/>
  <c r="F255" i="5" s="1"/>
  <c r="B256" i="5" s="1"/>
  <c r="F256" i="5" s="1"/>
  <c r="B257" i="5" s="1"/>
  <c r="F257" i="5" s="1"/>
  <c r="B258" i="5" s="1"/>
  <c r="F258" i="5" s="1"/>
  <c r="B259" i="5" s="1"/>
  <c r="F259" i="5" s="1"/>
  <c r="B260" i="5" s="1"/>
  <c r="F260" i="5" s="1"/>
  <c r="B261" i="5" s="1"/>
  <c r="F261" i="5" s="1"/>
  <c r="B262" i="5" s="1"/>
  <c r="F262" i="5" s="1"/>
  <c r="B263" i="5" s="1"/>
  <c r="F263" i="5" s="1"/>
  <c r="B264" i="5" s="1"/>
  <c r="F264" i="5" s="1"/>
  <c r="B265" i="5" s="1"/>
  <c r="F265" i="5" s="1"/>
  <c r="B266" i="5" s="1"/>
  <c r="F266" i="5" s="1"/>
  <c r="B267" i="5" s="1"/>
  <c r="F267" i="5" s="1"/>
  <c r="B268" i="5" s="1"/>
  <c r="F268" i="5" s="1"/>
  <c r="B269" i="5" s="1"/>
  <c r="F269" i="5" s="1"/>
  <c r="B270" i="5" s="1"/>
  <c r="F270" i="5" s="1"/>
  <c r="B271" i="5" s="1"/>
  <c r="F271" i="5" s="1"/>
  <c r="B272" i="5" s="1"/>
  <c r="F272" i="5" s="1"/>
  <c r="B273" i="5" s="1"/>
  <c r="F273" i="5" s="1"/>
  <c r="B274" i="5" s="1"/>
  <c r="F274" i="5" s="1"/>
  <c r="B275" i="5" s="1"/>
  <c r="F275" i="5" s="1"/>
  <c r="B276" i="5" s="1"/>
  <c r="F276" i="5" s="1"/>
  <c r="B277" i="5" s="1"/>
  <c r="F277" i="5" s="1"/>
  <c r="B278" i="5" s="1"/>
  <c r="F278" i="5" s="1"/>
  <c r="B279" i="5" s="1"/>
  <c r="F279" i="5" s="1"/>
  <c r="B280" i="5" s="1"/>
  <c r="F280" i="5" s="1"/>
  <c r="B281" i="5" s="1"/>
  <c r="F281" i="5" s="1"/>
  <c r="B282" i="5" s="1"/>
  <c r="F282" i="5" s="1"/>
  <c r="B283" i="5" s="1"/>
  <c r="F283" i="5" s="1"/>
  <c r="B284" i="5" s="1"/>
  <c r="F284" i="5" s="1"/>
  <c r="B285" i="5" s="1"/>
  <c r="F285" i="5" s="1"/>
  <c r="B286" i="5" s="1"/>
  <c r="F286" i="5" s="1"/>
  <c r="B287" i="5" s="1"/>
  <c r="F287" i="5" s="1"/>
  <c r="B288" i="5" s="1"/>
  <c r="F288" i="5" s="1"/>
  <c r="B289" i="5" s="1"/>
  <c r="F289" i="5" s="1"/>
  <c r="B290" i="5" s="1"/>
  <c r="F290" i="5" s="1"/>
  <c r="B291" i="5" s="1"/>
  <c r="F291" i="5" s="1"/>
  <c r="B292" i="5" s="1"/>
  <c r="F292" i="5" s="1"/>
  <c r="B293" i="5" s="1"/>
  <c r="F293" i="5" s="1"/>
  <c r="B294" i="5" s="1"/>
  <c r="F294" i="5" s="1"/>
  <c r="B295" i="5" s="1"/>
  <c r="F295" i="5" s="1"/>
  <c r="B296" i="5" s="1"/>
  <c r="F296" i="5" s="1"/>
  <c r="B297" i="5" s="1"/>
  <c r="F297" i="5" s="1"/>
  <c r="B298" i="5" s="1"/>
  <c r="F298" i="5" s="1"/>
  <c r="B299" i="5" s="1"/>
  <c r="F299" i="5" s="1"/>
  <c r="B300" i="5" s="1"/>
  <c r="F300" i="5" s="1"/>
  <c r="B301" i="5" s="1"/>
  <c r="F301" i="5" s="1"/>
  <c r="B302" i="5" s="1"/>
  <c r="F302" i="5" s="1"/>
  <c r="B303" i="5" s="1"/>
  <c r="F303" i="5" s="1"/>
  <c r="B304" i="5" s="1"/>
  <c r="F304" i="5" s="1"/>
  <c r="B305" i="5" s="1"/>
  <c r="F305" i="5" s="1"/>
  <c r="B306" i="5" s="1"/>
  <c r="F306" i="5" s="1"/>
  <c r="B307" i="5" s="1"/>
  <c r="F307" i="5" s="1"/>
  <c r="B308" i="5" s="1"/>
  <c r="F308" i="5" s="1"/>
  <c r="B309" i="5" s="1"/>
  <c r="F309" i="5" s="1"/>
  <c r="B310" i="5" s="1"/>
  <c r="F310" i="5" s="1"/>
  <c r="B311" i="5" s="1"/>
  <c r="F311" i="5" s="1"/>
  <c r="B312" i="5" s="1"/>
  <c r="F312" i="5" s="1"/>
  <c r="B313" i="5" s="1"/>
  <c r="F313" i="5" s="1"/>
  <c r="B314" i="5" s="1"/>
  <c r="F314" i="5" s="1"/>
  <c r="B315" i="5" s="1"/>
  <c r="F315" i="5" s="1"/>
  <c r="B316" i="5" s="1"/>
  <c r="F316" i="5" s="1"/>
  <c r="B317" i="5" s="1"/>
  <c r="F317" i="5" s="1"/>
  <c r="B318" i="5" s="1"/>
  <c r="F318" i="5" s="1"/>
  <c r="B319" i="5" s="1"/>
  <c r="F319" i="5" s="1"/>
  <c r="B320" i="5" s="1"/>
  <c r="F320" i="5" s="1"/>
  <c r="B321" i="5" s="1"/>
  <c r="F321" i="5" s="1"/>
  <c r="B322" i="5" s="1"/>
  <c r="F322" i="5" s="1"/>
  <c r="B323" i="5" s="1"/>
  <c r="F323" i="5" s="1"/>
  <c r="B324" i="5" s="1"/>
  <c r="F324" i="5" s="1"/>
  <c r="B325" i="5" s="1"/>
  <c r="F325" i="5" s="1"/>
  <c r="B326" i="5" s="1"/>
  <c r="F326" i="5" s="1"/>
  <c r="B327" i="5" s="1"/>
  <c r="F327" i="5" s="1"/>
  <c r="B328" i="5" s="1"/>
  <c r="F328" i="5" s="1"/>
  <c r="B329" i="5" s="1"/>
  <c r="F329" i="5" s="1"/>
  <c r="B330" i="5" s="1"/>
  <c r="F330" i="5" s="1"/>
  <c r="B331" i="5" s="1"/>
  <c r="F331" i="5" s="1"/>
  <c r="B332" i="5" s="1"/>
  <c r="F332" i="5" s="1"/>
  <c r="B333" i="5" s="1"/>
  <c r="F333" i="5" s="1"/>
  <c r="B334" i="5" s="1"/>
  <c r="F334" i="5" s="1"/>
  <c r="B335" i="5" s="1"/>
  <c r="F335" i="5" s="1"/>
  <c r="B336" i="5" s="1"/>
  <c r="F336" i="5" s="1"/>
  <c r="B337" i="5" s="1"/>
  <c r="F337" i="5" s="1"/>
  <c r="B338" i="5" s="1"/>
  <c r="F338" i="5" s="1"/>
  <c r="B339" i="5" s="1"/>
  <c r="F339" i="5" s="1"/>
  <c r="B340" i="5" s="1"/>
  <c r="F340" i="5" s="1"/>
  <c r="B341" i="5" s="1"/>
  <c r="F341" i="5" s="1"/>
  <c r="B342" i="5" s="1"/>
  <c r="F342" i="5" s="1"/>
  <c r="B343" i="5" s="1"/>
  <c r="F343" i="5" s="1"/>
  <c r="B344" i="5" s="1"/>
  <c r="F344" i="5" s="1"/>
  <c r="B345" i="5" s="1"/>
  <c r="F345" i="5" s="1"/>
  <c r="B346" i="5" s="1"/>
  <c r="F346" i="5" s="1"/>
  <c r="B347" i="5" s="1"/>
  <c r="F347" i="5" s="1"/>
  <c r="B348" i="5" s="1"/>
  <c r="F348" i="5" s="1"/>
  <c r="B349" i="5" s="1"/>
  <c r="F349" i="5" s="1"/>
  <c r="B350" i="5" s="1"/>
  <c r="F350" i="5" s="1"/>
  <c r="B351" i="5" s="1"/>
  <c r="F351" i="5" s="1"/>
  <c r="B352" i="5" s="1"/>
  <c r="F352" i="5" s="1"/>
  <c r="B353" i="5" s="1"/>
  <c r="F353" i="5" s="1"/>
  <c r="B354" i="5" s="1"/>
  <c r="F354" i="5" s="1"/>
  <c r="B355" i="5" s="1"/>
  <c r="F355" i="5" s="1"/>
  <c r="B356" i="5" s="1"/>
  <c r="F356" i="5" s="1"/>
  <c r="B357" i="5" s="1"/>
  <c r="F357" i="5" s="1"/>
  <c r="B358" i="5" s="1"/>
  <c r="F358" i="5" s="1"/>
  <c r="B359" i="5" s="1"/>
  <c r="F359" i="5" s="1"/>
  <c r="B360" i="5" s="1"/>
  <c r="F360" i="5" s="1"/>
  <c r="B361" i="5" s="1"/>
  <c r="F361" i="5" s="1"/>
  <c r="B362" i="5" s="1"/>
  <c r="F362" i="5" s="1"/>
  <c r="B363" i="5" s="1"/>
  <c r="F363" i="5" s="1"/>
  <c r="B364" i="5" s="1"/>
  <c r="F364" i="5" s="1"/>
  <c r="B365" i="5" s="1"/>
  <c r="F365" i="5" s="1"/>
  <c r="B366" i="5" s="1"/>
  <c r="F366" i="5" s="1"/>
  <c r="B367" i="5" s="1"/>
  <c r="F367" i="5" s="1"/>
  <c r="B368" i="5" s="1"/>
  <c r="F368" i="5" s="1"/>
  <c r="B369" i="5" s="1"/>
  <c r="F369" i="5" s="1"/>
  <c r="I5" i="5"/>
  <c r="X5" i="7"/>
  <c r="D14" i="4"/>
  <c r="F14" i="4"/>
  <c r="H14" i="4"/>
  <c r="W5" i="7" s="1"/>
  <c r="X7" i="7"/>
  <c r="D16" i="4"/>
  <c r="H16" i="4"/>
  <c r="W7" i="7" s="1"/>
  <c r="F16" i="4"/>
  <c r="X2" i="7"/>
  <c r="H11" i="4"/>
  <c r="W2" i="7" s="1"/>
  <c r="F11" i="4"/>
  <c r="D11" i="4"/>
  <c r="X3" i="7"/>
  <c r="D12" i="4"/>
  <c r="H12" i="4"/>
  <c r="W3" i="7" s="1"/>
  <c r="F12" i="4"/>
  <c r="X4" i="7"/>
  <c r="H13" i="4"/>
  <c r="F13" i="4"/>
  <c r="D13" i="4"/>
  <c r="X6" i="7"/>
  <c r="H15" i="4"/>
  <c r="W6" i="7" s="1"/>
  <c r="F15" i="4"/>
  <c r="D15" i="4"/>
  <c r="I3" i="5"/>
  <c r="V6" i="7" l="1"/>
  <c r="G15" i="4"/>
  <c r="Z6" i="7" s="1"/>
  <c r="V7" i="7"/>
  <c r="G16" i="4"/>
  <c r="Z7" i="7" s="1"/>
  <c r="V4" i="7"/>
  <c r="G5" i="7"/>
  <c r="G13" i="4"/>
  <c r="Z4" i="7" s="1"/>
  <c r="U4" i="7"/>
  <c r="D5" i="7"/>
  <c r="J5" i="7"/>
  <c r="W4" i="7"/>
  <c r="U7" i="7"/>
  <c r="E16" i="4"/>
  <c r="Y7" i="7" s="1"/>
  <c r="V3" i="7"/>
  <c r="G12" i="4"/>
  <c r="Z3" i="7" s="1"/>
  <c r="V5" i="7"/>
  <c r="G14" i="4"/>
  <c r="Z5" i="7" s="1"/>
  <c r="U3" i="7"/>
  <c r="E12" i="4"/>
  <c r="Y3" i="7" s="1"/>
  <c r="U5" i="7"/>
  <c r="E14" i="4"/>
  <c r="Y5" i="7" s="1"/>
  <c r="U6" i="7"/>
  <c r="E15" i="4"/>
  <c r="Y6" i="7" s="1"/>
  <c r="U2" i="7"/>
  <c r="E11" i="4"/>
  <c r="Y2" i="7" s="1"/>
  <c r="I7" i="5"/>
  <c r="I8" i="5"/>
  <c r="F2" i="1" s="1"/>
  <c r="V2" i="7"/>
  <c r="G11" i="4"/>
  <c r="Z2" i="7" s="1"/>
</calcChain>
</file>

<file path=xl/sharedStrings.xml><?xml version="1.0" encoding="utf-8"?>
<sst xmlns="http://schemas.openxmlformats.org/spreadsheetml/2006/main" count="242" uniqueCount="218">
  <si>
    <t>Rate Shock Loan Affordability &amp; Refinance Dashboard</t>
  </si>
  <si>
    <t>Primary Tool:</t>
  </si>
  <si>
    <t>Microsoft Excel</t>
  </si>
  <si>
    <t>Primary Dataset:</t>
  </si>
  <si>
    <t>FRED / Freddie Mac 30-Year Fixed Mortgage Rate Series (MORTGAGE30US)</t>
  </si>
  <si>
    <t>Project Objective</t>
  </si>
  <si>
    <t>This workbook analyzes how changes in mortgage interest rates affect borrower affordability, monthly payments, lifetime interest burden, and refinance decisions. Using historical U.S. 30-year fixed mortgage rate data (FRED/Freddie Mac, 1971-2026), the model converts macro-rate conditions into practical household finance scenarios and decision-support outputs.</t>
  </si>
  <si>
    <t>Business Questions</t>
  </si>
  <si>
    <t>ID</t>
  </si>
  <si>
    <t>Business Question</t>
  </si>
  <si>
    <t>Why It Matters</t>
  </si>
  <si>
    <t>Primary Answer Location</t>
  </si>
  <si>
    <t>BQ1</t>
  </si>
  <si>
    <t>How have 30-year fixed mortgage rates changed historically, and where does the latest rate sit relative to the past?</t>
  </si>
  <si>
    <t>Establishes the rate environment that drives the model</t>
  </si>
  <si>
    <t>Rate_Data; Dashboard</t>
  </si>
  <si>
    <t>BQ2</t>
  </si>
  <si>
    <t>How much does a mortgage rate increase or decrease change the monthly payment on a representative loan?</t>
  </si>
  <si>
    <t>Measures payment sensitivity to rate shocks</t>
  </si>
  <si>
    <t>Rate_Shock_Model; Dashboard</t>
  </si>
  <si>
    <t>BQ3</t>
  </si>
  <si>
    <t>How does the interest-rate environment affect total interest paid over the full life of the loan?</t>
  </si>
  <si>
    <t>Shows the long-term cost of rate changes</t>
  </si>
  <si>
    <t>Rate_Shock_Model; Amortization_Schedule; Dashboard</t>
  </si>
  <si>
    <t>BQ4</t>
  </si>
  <si>
    <t>Given a fixed monthly payment budget, how much loan principal is affordable at different mortgage rates?</t>
  </si>
  <si>
    <t>Quantifies purchasing-power erosion when rates rise</t>
  </si>
  <si>
    <t>BQ5</t>
  </si>
  <si>
    <t>Under what conditions does refinancing become financially attractive, and how long does it take to break even?</t>
  </si>
  <si>
    <t>Supports a practical refinance decision</t>
  </si>
  <si>
    <t>Refinance_Analysis; Dashboard</t>
  </si>
  <si>
    <t>Workbook Navigation Map</t>
  </si>
  <si>
    <t>Worksheet</t>
  </si>
  <si>
    <t>Role in the Model</t>
  </si>
  <si>
    <t>Key Outputs</t>
  </si>
  <si>
    <t>BQ Answered</t>
  </si>
  <si>
    <t>Project_Map</t>
  </si>
  <si>
    <t>Executive overview &amp; navigation</t>
  </si>
  <si>
    <t>Objective, BQ list, sheet map, scope, portfolio framing</t>
  </si>
  <si>
    <t>—</t>
  </si>
  <si>
    <t>Rate_Data</t>
  </si>
  <si>
    <t>Historical rate data &amp; statistics</t>
  </si>
  <si>
    <t>Latest rate, min/max/avg, helper columns, summary stats</t>
  </si>
  <si>
    <t>Assumptions</t>
  </si>
  <si>
    <t>Central input &amp; scenario-control panel</t>
  </si>
  <si>
    <t>Loan inputs, refinance inputs, named ranges</t>
  </si>
  <si>
    <t>All</t>
  </si>
  <si>
    <t>Rate_Shock_Model</t>
  </si>
  <si>
    <t>Interest-rate scenario analysis</t>
  </si>
  <si>
    <t>6-scenario payment, interest, cost, affordability table</t>
  </si>
  <si>
    <t>BQ2-BQ4</t>
  </si>
  <si>
    <t>Amortization_Schedule</t>
  </si>
  <si>
    <t>Base-case loan mechanics over time</t>
  </si>
  <si>
    <t>360-row P&amp;I schedule, balance decline, totals</t>
  </si>
  <si>
    <t>BQ2-BQ3</t>
  </si>
  <si>
    <t>Refinance_Analysis</t>
  </si>
  <si>
    <t>Refinance comparison &amp; break-even model</t>
  </si>
  <si>
    <t>Monthly savings, break-even months, decision flag</t>
  </si>
  <si>
    <t>Dashboard</t>
  </si>
  <si>
    <t>Executive visual summary</t>
  </si>
  <si>
    <t>5 KPI cards, 4 charts, refinance summary</t>
  </si>
  <si>
    <t>Core Formula Families</t>
  </si>
  <si>
    <t>Formula / Logic</t>
  </si>
  <si>
    <t>Project Use</t>
  </si>
  <si>
    <t>PMT</t>
  </si>
  <si>
    <t>Monthly mortgage payment under each rate scenario and base case</t>
  </si>
  <si>
    <t>PV</t>
  </si>
  <si>
    <t>Affordable loan principal at a fixed target monthly payment</t>
  </si>
  <si>
    <t>CUMIPMT</t>
  </si>
  <si>
    <t>Total interest paid over the full loan term by scenario</t>
  </si>
  <si>
    <t>PPMT / IPMT</t>
  </si>
  <si>
    <t>Principal and interest components by period in amortization</t>
  </si>
  <si>
    <t>IF</t>
  </si>
  <si>
    <t>Decision flags, refinance break-even interpretation, error guards</t>
  </si>
  <si>
    <t>IFERROR</t>
  </si>
  <si>
    <t>Graceful handling of division-by-zero and invalid inputs</t>
  </si>
  <si>
    <t>INDEX / MATCH</t>
  </si>
  <si>
    <t>Latest-rate retrieval from Rate_Data; robust to data appends</t>
  </si>
  <si>
    <t>TEXT / YEAR</t>
  </si>
  <si>
    <t>Date helper columns and formatted display labels</t>
  </si>
  <si>
    <t>Scope — Version 1</t>
  </si>
  <si>
    <t>INCLUDED IN VERSION 1</t>
  </si>
  <si>
    <t>EXCLUDED FROM VERSION 1</t>
  </si>
  <si>
    <t>• Historical 30-year fixed rate analysis (FRED, 1971-2026)</t>
  </si>
  <si>
    <t>• Property taxes, insurance, PMI, HOA fees</t>
  </si>
  <si>
    <t>• Six-scenario rate shock analysis (-1.00% to +1.50%)</t>
  </si>
  <si>
    <t>• Adjustable-rate mortgage (ARM) modeling</t>
  </si>
  <si>
    <t>• Full 360-payment base-case amortization schedule</t>
  </si>
  <si>
    <t>• Credit-score-based loan pricing</t>
  </si>
  <si>
    <t>• Refinance break-even analysis with decision flag</t>
  </si>
  <si>
    <t>• Regional housing-price differences</t>
  </si>
  <si>
    <t>• Executive dashboard with 5 KPI cards and 4 charts</t>
  </si>
  <si>
    <t>• VBA macros or automated data refresh</t>
  </si>
  <si>
    <t>• AWS pipeline (planned for a later phase)</t>
  </si>
  <si>
    <t>Portfolio Framing</t>
  </si>
  <si>
    <t>Data Source</t>
  </si>
  <si>
    <t>Source</t>
  </si>
  <si>
    <t>Federal Reserve Bank of St. Louis (FRED) — Freddie Mac Primary Mortgage Market Survey</t>
  </si>
  <si>
    <t>Series</t>
  </si>
  <si>
    <t>MORTGAGE30US — 30-Year Fixed Rate Mortgage Average in the United States</t>
  </si>
  <si>
    <t>Frequency</t>
  </si>
  <si>
    <t>Weekly (Thursday)</t>
  </si>
  <si>
    <t>Date Range</t>
  </si>
  <si>
    <t>April 2, 1971 through May 14, 2026 (~2,877 observations)</t>
  </si>
  <si>
    <t>Units</t>
  </si>
  <si>
    <t>Percent, not seasonally adjusted</t>
  </si>
  <si>
    <t>URL</t>
  </si>
  <si>
    <t>https://fred.stlouisfed.org/series/MORTGAGE30US</t>
  </si>
  <si>
    <t>observation_date</t>
  </si>
  <si>
    <t>MORTGAGE30US</t>
  </si>
  <si>
    <t>Rate_Decimal</t>
  </si>
  <si>
    <t>Year</t>
  </si>
  <si>
    <t>Month_Year</t>
  </si>
  <si>
    <t>CurrentRateLine</t>
  </si>
  <si>
    <t>Assumptions — Input Control Panel</t>
  </si>
  <si>
    <t>LOAN INPUTS</t>
  </si>
  <si>
    <t>Home Price</t>
  </si>
  <si>
    <t>Enter purchase price</t>
  </si>
  <si>
    <t>Down Payment %</t>
  </si>
  <si>
    <t>Enter as decimal (e.g., 0.20)</t>
  </si>
  <si>
    <t>Loan Amount</t>
  </si>
  <si>
    <t>Computed: Home Price x (1 - DP%)</t>
  </si>
  <si>
    <t>Loan Term (years)</t>
  </si>
  <si>
    <t>Fixed: 30-yr fixed rate model</t>
  </si>
  <si>
    <t>Loan Term (months)</t>
  </si>
  <si>
    <t>Computed: 360 months</t>
  </si>
  <si>
    <t>Base Mortgage Rate</t>
  </si>
  <si>
    <t>Auto-linked from Rate_Data</t>
  </si>
  <si>
    <t>Target Monthly Budget</t>
  </si>
  <si>
    <t>Max monthly P&amp;I payment</t>
  </si>
  <si>
    <t>REFINANCE INPUTS</t>
  </si>
  <si>
    <t>Remaining Balance</t>
  </si>
  <si>
    <t>Current outstanding principal</t>
  </si>
  <si>
    <t>Current Mortgage Rate</t>
  </si>
  <si>
    <t>Enter as decimal (e.g., 0.07)</t>
  </si>
  <si>
    <t>Proposed Refinance Rate</t>
  </si>
  <si>
    <t>Enter as decimal (e.g., 0.06)</t>
  </si>
  <si>
    <t>Remaining Term (months)</t>
  </si>
  <si>
    <t>Months left on current loan</t>
  </si>
  <si>
    <t>Closing Costs</t>
  </si>
  <si>
    <t>Total refi closing costs</t>
  </si>
  <si>
    <t>Expected Holding Period</t>
  </si>
  <si>
    <t>Months you plan to stay</t>
  </si>
  <si>
    <t>Rate Shock Scenario Analysis</t>
  </si>
  <si>
    <t>Key Inputs (from Assumptions)</t>
  </si>
  <si>
    <t>Base Rate</t>
  </si>
  <si>
    <t>Monthly Budget</t>
  </si>
  <si>
    <t>Scenario</t>
  </si>
  <si>
    <t>Rate Offset</t>
  </si>
  <si>
    <t>Scenario Rate</t>
  </si>
  <si>
    <t>Monthly Payment</t>
  </si>
  <si>
    <r>
      <t>Δ</t>
    </r>
    <r>
      <rPr>
        <b/>
        <sz val="11"/>
        <color rgb="FF00B050"/>
        <rFont val="Calibri"/>
        <family val="2"/>
      </rPr>
      <t xml:space="preserve"> </t>
    </r>
    <r>
      <rPr>
        <b/>
        <sz val="11"/>
        <rFont val="Calibri"/>
        <family val="2"/>
      </rPr>
      <t>Payment vs. Base</t>
    </r>
  </si>
  <si>
    <t>Total Lifetime Interest</t>
  </si>
  <si>
    <t>Total Loan Cost</t>
  </si>
  <si>
    <t>Affordable Principal</t>
  </si>
  <si>
    <t>Rate −1.00%</t>
  </si>
  <si>
    <t>Rate −0.50%</t>
  </si>
  <si>
    <t>Base Case</t>
  </si>
  <si>
    <t>Rate +0.50%</t>
  </si>
  <si>
    <t>Rate +1.00%</t>
  </si>
  <si>
    <t>Rate +1.50%</t>
  </si>
  <si>
    <t>Base-Case Loan Amortization Schedule</t>
  </si>
  <si>
    <t>Loan Parameters</t>
  </si>
  <si>
    <t>Schedule Totals</t>
  </si>
  <si>
    <t>Total Payments</t>
  </si>
  <si>
    <t>Annual Rate</t>
  </si>
  <si>
    <t>Total Principal Paid</t>
  </si>
  <si>
    <t>Monthly Rate</t>
  </si>
  <si>
    <t>Total Interest Paid</t>
  </si>
  <si>
    <t>Term (months)</t>
  </si>
  <si>
    <t>Principal = Loan Amt?</t>
  </si>
  <si>
    <t>Ending Balance (Mo 360)</t>
  </si>
  <si>
    <t>Balance ≈ $0?</t>
  </si>
  <si>
    <t>Payment #</t>
  </si>
  <si>
    <t>Beginning Balance</t>
  </si>
  <si>
    <t>Principal Paid</t>
  </si>
  <si>
    <t>Interest Paid</t>
  </si>
  <si>
    <t>Ending Balance</t>
  </si>
  <si>
    <t>Refinance Break-Even Analysis</t>
  </si>
  <si>
    <t>Refinance Inputs (from Assumptions)</t>
  </si>
  <si>
    <t>Refinance Analysis Results</t>
  </si>
  <si>
    <t>Current Monthly Payment</t>
  </si>
  <si>
    <t>New Monthly Payment</t>
  </si>
  <si>
    <t>Monthly Savings</t>
  </si>
  <si>
    <t>Break-Even Months</t>
  </si>
  <si>
    <t>Total Savings Over Holding Period</t>
  </si>
  <si>
    <t>Net Benefit After Closing Costs</t>
  </si>
  <si>
    <t>Latest 30-Yr Fixed Rate</t>
  </si>
  <si>
    <t>Base Case Monthly P&amp;I</t>
  </si>
  <si>
    <t>Refi Break-Even</t>
  </si>
  <si>
    <t>Base case · 30-year term</t>
  </si>
  <si>
    <t>At base rate · 30-yr term</t>
  </si>
  <si>
    <t>Refinance Break-Even Summary</t>
  </si>
  <si>
    <t>Rate Summary Statistics</t>
  </si>
  <si>
    <t>Latest Rate</t>
  </si>
  <si>
    <t>Historical Minimum</t>
  </si>
  <si>
    <t>Historical Maximum</t>
  </si>
  <si>
    <t>Historical Average</t>
  </si>
  <si>
    <t>52-Week Trailing Avg</t>
  </si>
  <si>
    <t>Data Start</t>
  </si>
  <si>
    <t>Data End</t>
  </si>
  <si>
    <t>Decision</t>
  </si>
  <si>
    <t>Annual Avg 30-Year Rate</t>
  </si>
  <si>
    <t>Current Rate Reference</t>
  </si>
  <si>
    <t>Total Interest</t>
  </si>
  <si>
    <t>Payment Delta</t>
  </si>
  <si>
    <t>Visualization Interpretation Guide</t>
  </si>
  <si>
    <t>1. Rate History</t>
  </si>
  <si>
    <t>Annual averages show the historical mortgage-rate environment; the flat reference line marks the current latest rate so viewers can compare today against past years.</t>
  </si>
  <si>
    <t>2. Payment Sensitivity</t>
  </si>
  <si>
    <t>Higher rates increase monthly principal-and-interest payments on the same $400K loan; lower rates reduce the payment burden.</t>
  </si>
  <si>
    <t>3. Lifetime Interest</t>
  </si>
  <si>
    <t>Rate changes compound over 360 months, so small rate differences can produce large changes in total interest paid.</t>
  </si>
  <si>
    <t>4. Affordability</t>
  </si>
  <si>
    <t>With a fixed $2,500 monthly budget, higher rates reduce the loan principal a buyer can afford; lower rates expand purchasing power.</t>
  </si>
  <si>
    <t>5. Refinance</t>
  </si>
  <si>
    <t>The default refinance case lowers the rate from 7.00% to 6.00%, producing positive monthly savings and a break-even period of about 24.7 months.</t>
  </si>
  <si>
    <t>This project demonstrates applied financial modeling in Excel using real-world macroeconomic data. It translates a publicly available mortgage-rate series into actionable household finance scenarios. This includes quantifying how rate movements affect monthly payments, lifetime borrowing costs, purchasing power, and refinance decisions. The workbook is structured as a decision-support tool, not a basic calculator: every output is tied to a specific business question, and the Dashboard is designed for a non-technical stakeholder audience. This Excel model serves as the foundation for a broader QuantPath analytics stack, where the same dataset can be extended into SQL analysis, Databricks-based research, R/Quarto statistical reporting, Tableau Public visual storytelling, and an optional AWS-aligned architecture using S3 and Athena.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</si>
</sst>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0"/>
    <numFmt numFmtId="165" formatCode="\$#,##0"/>
    <numFmt numFmtId="166" formatCode="\$#,##0.00"/>
    <numFmt numFmtId="167" formatCode="0.0000%"/>
  </numFmts>
  <fonts count="24" x14ac:knownFonts="1">
    <font>
      <sz val="11"/>
      <color theme="1"/>
      <name val="Aptos Narrow"/>
    </font>
    <font>
      <sz val="11"/>
      <color rgb="FF9C5700"/>
      <name val="Aptos Narrow"/>
      <family val="2"/>
    </font>
    <font>
      <b/>
      <sz val="11"/>
      <color theme="1"/>
      <name val="Aptos Narrow"/>
      <family val="2"/>
    </font>
    <font>
      <b/>
      <sz val="11"/>
      <color rgb="FF1F3864"/>
      <name val="Calibri"/>
      <family val="2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b/>
      <sz val="14"/>
      <color rgb="FFFFFFFF"/>
      <name val="Calibri"/>
      <family val="2"/>
    </font>
    <font>
      <sz val="11"/>
      <color rgb="FF000000"/>
      <name val="Calibri"/>
      <family val="2"/>
    </font>
    <font>
      <i/>
      <sz val="9"/>
      <color rgb="FF595959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6"/>
      <color rgb="FFFFFFFF"/>
      <name val="Calibri"/>
      <family val="2"/>
    </font>
    <font>
      <b/>
      <sz val="28"/>
      <color rgb="FF1F3864"/>
      <name val="Calibri"/>
      <family val="2"/>
    </font>
    <font>
      <i/>
      <sz val="10"/>
      <color rgb="FF808080"/>
      <name val="Calibri"/>
      <family val="2"/>
    </font>
    <font>
      <b/>
      <sz val="16"/>
      <name val="Calibri"/>
      <family val="2"/>
    </font>
    <font>
      <sz val="16"/>
      <color theme="1"/>
      <name val="Aptos Narrow"/>
      <family val="2"/>
    </font>
    <font>
      <b/>
      <sz val="11"/>
      <color rgb="FF00B050"/>
      <name val="Calibri"/>
      <family val="2"/>
    </font>
    <font>
      <b/>
      <sz val="11"/>
      <color rgb="FFFFFFFF"/>
      <name val="Aptos Narrow"/>
      <family val="2"/>
    </font>
    <font>
      <b/>
      <sz val="14"/>
      <color rgb="FF006100"/>
      <name val="Calibri"/>
      <family val="2"/>
    </font>
    <font>
      <b/>
      <sz val="11"/>
      <color rgb="FFFFFFFF"/>
      <name val="Calibri"/>
      <family val="2"/>
    </font>
    <font>
      <sz val="11"/>
      <color theme="1"/>
      <name val="Aptos Narrow"/>
      <family val="2"/>
    </font>
    <font>
      <b/>
      <sz val="13"/>
      <color theme="3"/>
      <name val="Calibri"/>
      <family val="2"/>
      <scheme val="minor"/>
    </font>
    <font>
      <sz val="14"/>
      <color rgb="FF000000"/>
      <name val="Calibri"/>
      <family val="2"/>
    </font>
    <font>
      <sz val="14"/>
      <color theme="1"/>
      <name val="Aptos Narrow"/>
      <family val="2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EBF3FB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D9EAF7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double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4">
    <xf numFmtId="0" fontId="0" fillId="0" borderId="0"/>
    <xf numFmtId="0" fontId="1" fillId="2" borderId="0"/>
    <xf numFmtId="0" fontId="2" fillId="0" borderId="1"/>
    <xf numFmtId="0" fontId="21" fillId="0" borderId="4" applyNumberFormat="0" applyFill="0" applyAlignment="0" applyProtection="0"/>
  </cellStyleXfs>
  <cellXfs count="8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5" fillId="0" borderId="0" xfId="0" applyFont="1"/>
    <xf numFmtId="0" fontId="7" fillId="0" borderId="0" xfId="0" applyFont="1" applyAlignment="1">
      <alignment horizontal="left" vertical="center"/>
    </xf>
    <xf numFmtId="0" fontId="7" fillId="2" borderId="1" xfId="1" applyFont="1" applyBorder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3" fillId="4" borderId="1" xfId="2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/>
    <xf numFmtId="164" fontId="0" fillId="0" borderId="0" xfId="0" applyNumberFormat="1"/>
    <xf numFmtId="2" fontId="0" fillId="0" borderId="0" xfId="0" applyNumberFormat="1"/>
    <xf numFmtId="165" fontId="7" fillId="7" borderId="0" xfId="0" applyNumberFormat="1" applyFont="1" applyFill="1" applyAlignment="1">
      <alignment horizontal="right" vertical="center"/>
    </xf>
    <xf numFmtId="0" fontId="8" fillId="0" borderId="0" xfId="0" applyFont="1"/>
    <xf numFmtId="10" fontId="7" fillId="7" borderId="0" xfId="0" applyNumberFormat="1" applyFont="1" applyFill="1" applyAlignment="1">
      <alignment horizontal="right" vertical="center"/>
    </xf>
    <xf numFmtId="165" fontId="7" fillId="8" borderId="0" xfId="0" applyNumberFormat="1" applyFont="1" applyFill="1" applyAlignment="1">
      <alignment horizontal="right" vertical="center"/>
    </xf>
    <xf numFmtId="3" fontId="7" fillId="8" borderId="0" xfId="0" applyNumberFormat="1" applyFont="1" applyFill="1" applyAlignment="1">
      <alignment horizontal="right" vertical="center"/>
    </xf>
    <xf numFmtId="10" fontId="7" fillId="8" borderId="0" xfId="0" applyNumberFormat="1" applyFont="1" applyFill="1" applyAlignment="1">
      <alignment horizontal="right" vertical="center"/>
    </xf>
    <xf numFmtId="3" fontId="7" fillId="7" borderId="0" xfId="0" applyNumberFormat="1" applyFont="1" applyFill="1" applyAlignment="1">
      <alignment horizontal="right" vertical="center"/>
    </xf>
    <xf numFmtId="10" fontId="0" fillId="0" borderId="0" xfId="0" applyNumberFormat="1"/>
    <xf numFmtId="166" fontId="7" fillId="8" borderId="0" xfId="0" applyNumberFormat="1" applyFont="1" applyFill="1" applyAlignment="1">
      <alignment horizontal="right" vertical="center"/>
    </xf>
    <xf numFmtId="0" fontId="9" fillId="9" borderId="0" xfId="0" applyFont="1" applyFill="1"/>
    <xf numFmtId="10" fontId="9" fillId="9" borderId="0" xfId="0" applyNumberFormat="1" applyFont="1" applyFill="1"/>
    <xf numFmtId="10" fontId="9" fillId="9" borderId="0" xfId="0" applyNumberFormat="1" applyFont="1" applyFill="1" applyAlignment="1">
      <alignment horizontal="right" vertical="center"/>
    </xf>
    <xf numFmtId="166" fontId="9" fillId="9" borderId="0" xfId="0" applyNumberFormat="1" applyFont="1" applyFill="1" applyAlignment="1">
      <alignment horizontal="right" vertical="center"/>
    </xf>
    <xf numFmtId="165" fontId="9" fillId="9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7" fontId="7" fillId="8" borderId="0" xfId="0" applyNumberFormat="1" applyFont="1" applyFill="1" applyAlignment="1">
      <alignment horizontal="right" vertical="center"/>
    </xf>
    <xf numFmtId="0" fontId="7" fillId="8" borderId="0" xfId="0" applyFont="1" applyFill="1" applyAlignment="1">
      <alignment horizontal="right" vertical="center"/>
    </xf>
    <xf numFmtId="3" fontId="0" fillId="0" borderId="0" xfId="0" applyNumberFormat="1"/>
    <xf numFmtId="166" fontId="0" fillId="0" borderId="0" xfId="0" applyNumberFormat="1"/>
    <xf numFmtId="0" fontId="0" fillId="10" borderId="0" xfId="0" applyFill="1"/>
    <xf numFmtId="0" fontId="13" fillId="0" borderId="0" xfId="0" applyFont="1"/>
    <xf numFmtId="0" fontId="4" fillId="5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9" fillId="4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4" fillId="11" borderId="0" xfId="0" applyFont="1" applyFill="1" applyAlignment="1">
      <alignment horizontal="left" vertical="center"/>
    </xf>
    <xf numFmtId="0" fontId="17" fillId="11" borderId="0" xfId="0" applyFont="1" applyFill="1"/>
    <xf numFmtId="10" fontId="3" fillId="4" borderId="0" xfId="0" applyNumberFormat="1" applyFont="1" applyFill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166" fontId="7" fillId="13" borderId="0" xfId="0" applyNumberFormat="1" applyFont="1" applyFill="1" applyAlignment="1">
      <alignment horizontal="right" vertical="center"/>
    </xf>
    <xf numFmtId="166" fontId="5" fillId="12" borderId="0" xfId="0" applyNumberFormat="1" applyFont="1" applyFill="1" applyAlignment="1">
      <alignment horizontal="right" vertical="center"/>
    </xf>
    <xf numFmtId="166" fontId="7" fillId="14" borderId="0" xfId="0" applyNumberFormat="1" applyFont="1" applyFill="1" applyAlignment="1">
      <alignment horizontal="right" vertical="center"/>
    </xf>
    <xf numFmtId="0" fontId="2" fillId="15" borderId="0" xfId="0" applyFont="1" applyFill="1"/>
    <xf numFmtId="2" fontId="2" fillId="15" borderId="0" xfId="0" applyNumberFormat="1" applyFont="1" applyFill="1"/>
    <xf numFmtId="165" fontId="2" fillId="15" borderId="0" xfId="0" applyNumberFormat="1" applyFont="1" applyFill="1"/>
    <xf numFmtId="0" fontId="19" fillId="11" borderId="0" xfId="0" applyFont="1" applyFill="1" applyAlignment="1">
      <alignment horizontal="left" vertical="center"/>
    </xf>
    <xf numFmtId="166" fontId="19" fillId="11" borderId="0" xfId="0" applyNumberFormat="1" applyFont="1" applyFill="1" applyAlignment="1">
      <alignment horizontal="right" vertical="center"/>
    </xf>
    <xf numFmtId="0" fontId="5" fillId="15" borderId="0" xfId="0" applyFont="1" applyFill="1" applyAlignment="1">
      <alignment horizontal="left" vertical="center"/>
    </xf>
    <xf numFmtId="0" fontId="5" fillId="15" borderId="0" xfId="0" applyFont="1" applyFill="1" applyAlignment="1">
      <alignment horizontal="left" vertical="center" wrapText="1"/>
    </xf>
    <xf numFmtId="165" fontId="2" fillId="15" borderId="0" xfId="0" applyNumberFormat="1" applyFont="1" applyFill="1" applyAlignment="1">
      <alignment wrapText="1"/>
    </xf>
    <xf numFmtId="10" fontId="2" fillId="15" borderId="0" xfId="0" applyNumberFormat="1" applyFont="1" applyFill="1" applyAlignment="1">
      <alignment wrapText="1"/>
    </xf>
    <xf numFmtId="2" fontId="2" fillId="15" borderId="0" xfId="0" applyNumberFormat="1" applyFont="1" applyFill="1" applyAlignment="1">
      <alignment wrapText="1"/>
    </xf>
    <xf numFmtId="0" fontId="21" fillId="8" borderId="4" xfId="3" applyFill="1" applyAlignment="1">
      <alignment horizontal="center" vertical="center" wrapText="1"/>
    </xf>
    <xf numFmtId="0" fontId="0" fillId="16" borderId="0" xfId="0" applyFill="1" applyAlignment="1">
      <alignment horizontal="center"/>
    </xf>
    <xf numFmtId="166" fontId="21" fillId="8" borderId="4" xfId="3" applyNumberFormat="1" applyFill="1" applyAlignment="1">
      <alignment horizontal="center" vertical="center" wrapText="1"/>
    </xf>
    <xf numFmtId="0" fontId="17" fillId="11" borderId="0" xfId="0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0" fillId="0" borderId="0" xfId="0"/>
    <xf numFmtId="0" fontId="8" fillId="10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15" fillId="0" borderId="0" xfId="0" applyFont="1"/>
    <xf numFmtId="166" fontId="12" fillId="10" borderId="0" xfId="0" applyNumberFormat="1" applyFont="1" applyFill="1" applyAlignment="1">
      <alignment horizontal="center" vertical="center"/>
    </xf>
    <xf numFmtId="0" fontId="20" fillId="0" borderId="0" xfId="0" applyFont="1"/>
    <xf numFmtId="165" fontId="12" fillId="10" borderId="0" xfId="0" applyNumberFormat="1" applyFont="1" applyFill="1" applyAlignment="1">
      <alignment horizontal="center" vertical="center"/>
    </xf>
    <xf numFmtId="0" fontId="11" fillId="6" borderId="1" xfId="2" applyFont="1" applyFill="1" applyAlignment="1">
      <alignment horizontal="center" vertical="center"/>
    </xf>
    <xf numFmtId="0" fontId="0" fillId="0" borderId="1" xfId="0" applyBorder="1"/>
    <xf numFmtId="0" fontId="22" fillId="0" borderId="0" xfId="0" applyFont="1" applyAlignment="1">
      <alignment horizontal="left" vertical="top" wrapText="1"/>
    </xf>
    <xf numFmtId="0" fontId="23" fillId="0" borderId="0" xfId="0" applyFont="1"/>
    <xf numFmtId="0" fontId="7" fillId="3" borderId="1" xfId="2" applyFont="1" applyFill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3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8" fillId="12" borderId="0" xfId="0" applyFont="1" applyFill="1" applyAlignment="1">
      <alignment horizontal="center" vertical="center"/>
    </xf>
  </cellXfs>
  <cellStyles count="4">
    <cellStyle name="Heading 2" xfId="3" builtinId="17"/>
    <cellStyle name="Neutral" xfId="1" xr:uid="{00000000-0005-0000-0000-000000000000}"/>
    <cellStyle name="Normal" xfId="0" builtinId="0"/>
    <cellStyle name="Total" xfId="2" xr:uid="{00000000-0005-0000-0000-000002000000}"/>
  </cellStyles>
  <dxfs count="24">
    <dxf>
      <font>
        <b/>
        <color rgb="FFC00000"/>
        <name val="Calibri"/>
      </font>
      <fill>
        <patternFill>
          <bgColor rgb="FFFFE0E0"/>
        </patternFill>
      </fill>
    </dxf>
    <dxf>
      <font>
        <b/>
        <color rgb="FFC00000"/>
        <name val="Calibri"/>
      </font>
      <fill>
        <patternFill>
          <bgColor rgb="FFFFE0E0"/>
        </patternFill>
      </fill>
    </dxf>
    <dxf>
      <font>
        <b/>
        <color rgb="FF375623"/>
        <name val="Calibri"/>
      </font>
      <fill>
        <patternFill>
          <bgColor rgb="FFE2EFDA"/>
        </patternFill>
      </fill>
    </dxf>
    <dxf>
      <font>
        <b/>
        <color rgb="FFC00000"/>
        <name val="Calibri"/>
      </font>
      <fill>
        <patternFill>
          <bgColor rgb="FFFFE0E0"/>
        </patternFill>
      </fill>
    </dxf>
    <dxf>
      <font>
        <b/>
        <color rgb="FFC00000"/>
        <name val="Calibri"/>
      </font>
      <fill>
        <patternFill>
          <bgColor rgb="FFFFE0E0"/>
        </patternFill>
      </fill>
    </dxf>
    <dxf>
      <font>
        <b/>
        <color rgb="FF375623"/>
        <name val="Calibri"/>
      </font>
      <fill>
        <patternFill>
          <bgColor rgb="FFE2EFDA"/>
        </patternFill>
      </fill>
    </dxf>
    <dxf>
      <font>
        <b/>
        <color rgb="FFC00000"/>
        <name val="Calibri"/>
      </font>
      <fill>
        <patternFill>
          <bgColor rgb="FFFFE0E0"/>
        </patternFill>
      </fill>
    </dxf>
    <dxf>
      <font>
        <b/>
        <color rgb="FFC00000"/>
        <name val="Calibri"/>
      </font>
      <fill>
        <patternFill>
          <bgColor rgb="FFFFE0E0"/>
        </patternFill>
      </fill>
    </dxf>
    <dxf>
      <font>
        <b/>
        <color rgb="FF375623"/>
        <name val="Calibri"/>
      </font>
      <fill>
        <patternFill>
          <bgColor rgb="FFE2EFDA"/>
        </patternFill>
      </fill>
    </dxf>
    <dxf>
      <font>
        <b/>
        <color rgb="FFC00000"/>
        <name val="Calibri"/>
      </font>
      <fill>
        <patternFill>
          <bgColor rgb="FFFFE0E0"/>
        </patternFill>
      </fill>
    </dxf>
    <dxf>
      <font>
        <b/>
        <color rgb="FFC00000"/>
        <name val="Calibri"/>
      </font>
      <fill>
        <patternFill>
          <bgColor rgb="FFFFE0E0"/>
        </patternFill>
      </fill>
    </dxf>
    <dxf>
      <font>
        <b/>
        <color rgb="FF375623"/>
        <name val="Calibri"/>
      </font>
      <fill>
        <patternFill>
          <bgColor rgb="FFE2EFDA"/>
        </patternFill>
      </fill>
    </dxf>
    <dxf>
      <font>
        <b/>
        <color rgb="FFC00000"/>
        <name val="Calibri"/>
      </font>
      <fill>
        <patternFill>
          <bgColor rgb="FFFFE0E0"/>
        </patternFill>
      </fill>
    </dxf>
    <dxf>
      <font>
        <b/>
        <color rgb="FFC00000"/>
        <name val="Calibri"/>
      </font>
      <fill>
        <patternFill>
          <bgColor rgb="FFFFE0E0"/>
        </patternFill>
      </fill>
    </dxf>
    <dxf>
      <font>
        <b/>
        <color rgb="FF375623"/>
        <name val="Calibri"/>
      </font>
      <fill>
        <patternFill>
          <bgColor rgb="FFE2EFDA"/>
        </patternFill>
      </fill>
    </dxf>
    <dxf>
      <font>
        <b/>
        <color rgb="FFC00000"/>
        <name val="Calibri"/>
      </font>
      <fill>
        <patternFill>
          <bgColor rgb="FFFFE0E0"/>
        </patternFill>
      </fill>
    </dxf>
    <dxf>
      <font>
        <b/>
        <color rgb="FFC00000"/>
        <name val="Calibri"/>
      </font>
      <fill>
        <patternFill>
          <bgColor rgb="FFFFE0E0"/>
        </patternFill>
      </fill>
    </dxf>
    <dxf>
      <font>
        <b/>
        <color rgb="FF375623"/>
        <name val="Calibri"/>
      </font>
      <fill>
        <patternFill>
          <bgColor rgb="FFE2EFDA"/>
        </patternFill>
      </fill>
    </dxf>
    <dxf>
      <font>
        <sz val="11"/>
        <color rgb="FFC00000"/>
        <name val="Calibri"/>
      </font>
    </dxf>
    <dxf>
      <font>
        <sz val="11"/>
        <color rgb="FF375623"/>
        <name val="Calibri"/>
      </font>
    </dxf>
    <dxf>
      <font>
        <b/>
        <color rgb="FFC00000"/>
        <name val="Calibri"/>
      </font>
      <fill>
        <patternFill>
          <bgColor rgb="FFFFE0E0"/>
        </patternFill>
      </fill>
    </dxf>
    <dxf>
      <font>
        <b/>
        <color rgb="FF375623"/>
        <name val="Calibri"/>
      </font>
      <fill>
        <patternFill>
          <bgColor rgb="FFE2EFDA"/>
        </patternFill>
      </fill>
    </dxf>
    <dxf>
      <font>
        <b/>
        <color rgb="FFC00000"/>
        <name val="Calibri"/>
      </font>
      <fill>
        <patternFill>
          <bgColor rgb="FFFFE0E0"/>
        </patternFill>
      </fill>
    </dxf>
    <dxf>
      <font>
        <b/>
        <color rgb="FF375623"/>
        <name val="Calibri"/>
      </font>
      <fill>
        <patternFill>
          <bgColor rgb="FFE2EFDA"/>
        </patternFill>
      </fill>
    </dxf>
  </dxfs>
  <tableStyles count="1" defaultTableStyle="TableStyleMedium2" defaultPivotStyle="PivotStyleLight16">
    <tableStyle name="Invisible" pivot="0" table="0" count="0" xr9:uid="{431EA315-C503-407A-8995-C474389EB8C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Annual Avg 30-Year Rate</c:v>
          </c:tx>
          <c:cat>
            <c:numRef>
              <c:f>Dashboard!$Q$2:$Q$57</c:f>
              <c:numCache>
                <c:formatCode>General</c:formatCode>
                <c:ptCount val="56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</c:numCache>
            </c:numRef>
          </c:cat>
          <c:val>
            <c:numRef>
              <c:f>Dashboard!$R$2:$R$57</c:f>
              <c:numCache>
                <c:formatCode>General</c:formatCode>
                <c:ptCount val="56"/>
                <c:pt idx="0">
                  <c:v>7.5417500000000022</c:v>
                </c:pt>
                <c:pt idx="1">
                  <c:v>7.3832692307692342</c:v>
                </c:pt>
                <c:pt idx="2">
                  <c:v>8.044807692307689</c:v>
                </c:pt>
                <c:pt idx="3">
                  <c:v>9.1871153846153852</c:v>
                </c:pt>
                <c:pt idx="4">
                  <c:v>9.0471153846153829</c:v>
                </c:pt>
                <c:pt idx="5">
                  <c:v>8.8658490566037749</c:v>
                </c:pt>
                <c:pt idx="6">
                  <c:v>8.8451923076923045</c:v>
                </c:pt>
                <c:pt idx="7">
                  <c:v>9.6417307692307688</c:v>
                </c:pt>
                <c:pt idx="8">
                  <c:v>11.203653846153845</c:v>
                </c:pt>
                <c:pt idx="9">
                  <c:v>13.742115384615385</c:v>
                </c:pt>
                <c:pt idx="10">
                  <c:v>16.641509433962266</c:v>
                </c:pt>
                <c:pt idx="11">
                  <c:v>16.043653846153848</c:v>
                </c:pt>
                <c:pt idx="12">
                  <c:v>13.235384615384609</c:v>
                </c:pt>
                <c:pt idx="13">
                  <c:v>13.877692307692307</c:v>
                </c:pt>
                <c:pt idx="14">
                  <c:v>12.430192307692305</c:v>
                </c:pt>
                <c:pt idx="15">
                  <c:v>10.187307692307691</c:v>
                </c:pt>
                <c:pt idx="16">
                  <c:v>10.213396226415098</c:v>
                </c:pt>
                <c:pt idx="17">
                  <c:v>10.341730769230766</c:v>
                </c:pt>
                <c:pt idx="18">
                  <c:v>10.319423076923076</c:v>
                </c:pt>
                <c:pt idx="19">
                  <c:v>10.129423076923077</c:v>
                </c:pt>
                <c:pt idx="20">
                  <c:v>9.24653846153846</c:v>
                </c:pt>
                <c:pt idx="21">
                  <c:v>8.3901886792452807</c:v>
                </c:pt>
                <c:pt idx="22">
                  <c:v>7.314615384615383</c:v>
                </c:pt>
                <c:pt idx="23">
                  <c:v>8.3807692307692339</c:v>
                </c:pt>
                <c:pt idx="24">
                  <c:v>7.9346153846153848</c:v>
                </c:pt>
                <c:pt idx="25">
                  <c:v>7.806153846153844</c:v>
                </c:pt>
                <c:pt idx="26">
                  <c:v>7.5988461538461527</c:v>
                </c:pt>
                <c:pt idx="27">
                  <c:v>6.94264150943396</c:v>
                </c:pt>
                <c:pt idx="28">
                  <c:v>7.4399999999999986</c:v>
                </c:pt>
                <c:pt idx="29">
                  <c:v>8.0534615384615389</c:v>
                </c:pt>
                <c:pt idx="30">
                  <c:v>6.9678846153846141</c:v>
                </c:pt>
                <c:pt idx="31">
                  <c:v>6.5373076923076923</c:v>
                </c:pt>
                <c:pt idx="32">
                  <c:v>5.8269811320754714</c:v>
                </c:pt>
                <c:pt idx="33">
                  <c:v>5.8392307692307703</c:v>
                </c:pt>
                <c:pt idx="34">
                  <c:v>5.8667307692307693</c:v>
                </c:pt>
                <c:pt idx="35">
                  <c:v>6.4132692307692309</c:v>
                </c:pt>
                <c:pt idx="36">
                  <c:v>6.3373076923076903</c:v>
                </c:pt>
                <c:pt idx="37">
                  <c:v>6.0271698113207544</c:v>
                </c:pt>
                <c:pt idx="38">
                  <c:v>5.0365384615384601</c:v>
                </c:pt>
                <c:pt idx="39">
                  <c:v>4.689807692307693</c:v>
                </c:pt>
                <c:pt idx="40">
                  <c:v>4.4478846153846145</c:v>
                </c:pt>
                <c:pt idx="41">
                  <c:v>3.6575000000000011</c:v>
                </c:pt>
                <c:pt idx="42">
                  <c:v>3.9755769230769222</c:v>
                </c:pt>
                <c:pt idx="43">
                  <c:v>4.1688679245283016</c:v>
                </c:pt>
                <c:pt idx="44">
                  <c:v>3.8505769230769222</c:v>
                </c:pt>
                <c:pt idx="45">
                  <c:v>3.6540384615384616</c:v>
                </c:pt>
                <c:pt idx="46">
                  <c:v>3.9898076923076924</c:v>
                </c:pt>
                <c:pt idx="47">
                  <c:v>4.5446153846153852</c:v>
                </c:pt>
                <c:pt idx="48">
                  <c:v>3.9357692307692309</c:v>
                </c:pt>
                <c:pt idx="49">
                  <c:v>3.111698113207547</c:v>
                </c:pt>
                <c:pt idx="50">
                  <c:v>2.9576923076923078</c:v>
                </c:pt>
                <c:pt idx="51">
                  <c:v>5.344038461538462</c:v>
                </c:pt>
                <c:pt idx="52">
                  <c:v>6.8067307692307697</c:v>
                </c:pt>
                <c:pt idx="53">
                  <c:v>6.7211538461538476</c:v>
                </c:pt>
                <c:pt idx="54">
                  <c:v>6.5950943396226434</c:v>
                </c:pt>
                <c:pt idx="55">
                  <c:v>6.1947368421052627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81-4CC9-B1EA-836DA5EFC4BD}"/>
            </c:ext>
          </c:extLst>
        </c:ser>
        <c:ser>
          <c:idx val="1"/>
          <c:order val="1"/>
          <c:tx>
            <c:v>Current Rate Reference</c:v>
          </c:tx>
          <c:cat>
            <c:numRef>
              <c:f>Dashboard!$Q$2:$Q$57</c:f>
              <c:numCache>
                <c:formatCode>General</c:formatCode>
                <c:ptCount val="56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  <c:pt idx="55">
                  <c:v>2026</c:v>
                </c:pt>
              </c:numCache>
            </c:numRef>
          </c:cat>
          <c:val>
            <c:numRef>
              <c:f>Dashboard!$S$2:$S$57</c:f>
              <c:numCache>
                <c:formatCode>General</c:formatCode>
                <c:ptCount val="56"/>
                <c:pt idx="0">
                  <c:v>6.36</c:v>
                </c:pt>
                <c:pt idx="1">
                  <c:v>6.36</c:v>
                </c:pt>
                <c:pt idx="2">
                  <c:v>6.36</c:v>
                </c:pt>
                <c:pt idx="3">
                  <c:v>6.36</c:v>
                </c:pt>
                <c:pt idx="4">
                  <c:v>6.36</c:v>
                </c:pt>
                <c:pt idx="5">
                  <c:v>6.36</c:v>
                </c:pt>
                <c:pt idx="6">
                  <c:v>6.36</c:v>
                </c:pt>
                <c:pt idx="7">
                  <c:v>6.36</c:v>
                </c:pt>
                <c:pt idx="8">
                  <c:v>6.36</c:v>
                </c:pt>
                <c:pt idx="9">
                  <c:v>6.36</c:v>
                </c:pt>
                <c:pt idx="10">
                  <c:v>6.36</c:v>
                </c:pt>
                <c:pt idx="11">
                  <c:v>6.36</c:v>
                </c:pt>
                <c:pt idx="12">
                  <c:v>6.36</c:v>
                </c:pt>
                <c:pt idx="13">
                  <c:v>6.36</c:v>
                </c:pt>
                <c:pt idx="14">
                  <c:v>6.36</c:v>
                </c:pt>
                <c:pt idx="15">
                  <c:v>6.36</c:v>
                </c:pt>
                <c:pt idx="16">
                  <c:v>6.36</c:v>
                </c:pt>
                <c:pt idx="17">
                  <c:v>6.36</c:v>
                </c:pt>
                <c:pt idx="18">
                  <c:v>6.36</c:v>
                </c:pt>
                <c:pt idx="19">
                  <c:v>6.36</c:v>
                </c:pt>
                <c:pt idx="20">
                  <c:v>6.36</c:v>
                </c:pt>
                <c:pt idx="21">
                  <c:v>6.36</c:v>
                </c:pt>
                <c:pt idx="22">
                  <c:v>6.36</c:v>
                </c:pt>
                <c:pt idx="23">
                  <c:v>6.36</c:v>
                </c:pt>
                <c:pt idx="24">
                  <c:v>6.36</c:v>
                </c:pt>
                <c:pt idx="25">
                  <c:v>6.36</c:v>
                </c:pt>
                <c:pt idx="26">
                  <c:v>6.36</c:v>
                </c:pt>
                <c:pt idx="27">
                  <c:v>6.36</c:v>
                </c:pt>
                <c:pt idx="28">
                  <c:v>6.36</c:v>
                </c:pt>
                <c:pt idx="29">
                  <c:v>6.36</c:v>
                </c:pt>
                <c:pt idx="30">
                  <c:v>6.36</c:v>
                </c:pt>
                <c:pt idx="31">
                  <c:v>6.36</c:v>
                </c:pt>
                <c:pt idx="32">
                  <c:v>6.36</c:v>
                </c:pt>
                <c:pt idx="33">
                  <c:v>6.36</c:v>
                </c:pt>
                <c:pt idx="34">
                  <c:v>6.36</c:v>
                </c:pt>
                <c:pt idx="35">
                  <c:v>6.36</c:v>
                </c:pt>
                <c:pt idx="36">
                  <c:v>6.36</c:v>
                </c:pt>
                <c:pt idx="37">
                  <c:v>6.36</c:v>
                </c:pt>
                <c:pt idx="38">
                  <c:v>6.36</c:v>
                </c:pt>
                <c:pt idx="39">
                  <c:v>6.36</c:v>
                </c:pt>
                <c:pt idx="40">
                  <c:v>6.36</c:v>
                </c:pt>
                <c:pt idx="41">
                  <c:v>6.36</c:v>
                </c:pt>
                <c:pt idx="42">
                  <c:v>6.36</c:v>
                </c:pt>
                <c:pt idx="43">
                  <c:v>6.36</c:v>
                </c:pt>
                <c:pt idx="44">
                  <c:v>6.36</c:v>
                </c:pt>
                <c:pt idx="45">
                  <c:v>6.36</c:v>
                </c:pt>
                <c:pt idx="46">
                  <c:v>6.36</c:v>
                </c:pt>
                <c:pt idx="47">
                  <c:v>6.36</c:v>
                </c:pt>
                <c:pt idx="48">
                  <c:v>6.36</c:v>
                </c:pt>
                <c:pt idx="49">
                  <c:v>6.36</c:v>
                </c:pt>
                <c:pt idx="50">
                  <c:v>6.36</c:v>
                </c:pt>
                <c:pt idx="51">
                  <c:v>6.36</c:v>
                </c:pt>
                <c:pt idx="52">
                  <c:v>6.36</c:v>
                </c:pt>
                <c:pt idx="53">
                  <c:v>6.36</c:v>
                </c:pt>
                <c:pt idx="54">
                  <c:v>6.36</c:v>
                </c:pt>
                <c:pt idx="55">
                  <c:v>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81-4CC9-B1EA-836DA5EFC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Monthly Payment</c:v>
          </c:tx>
          <c:invertIfNegative val="1"/>
          <c:cat>
            <c:strRef>
              <c:f>Dashboard!$T$2:$T$7</c:f>
              <c:strCache>
                <c:ptCount val="6"/>
                <c:pt idx="0">
                  <c:v>Rate −1.00%</c:v>
                </c:pt>
                <c:pt idx="1">
                  <c:v>Rate −0.50%</c:v>
                </c:pt>
                <c:pt idx="2">
                  <c:v>Base Case</c:v>
                </c:pt>
                <c:pt idx="3">
                  <c:v>Rate +0.50%</c:v>
                </c:pt>
                <c:pt idx="4">
                  <c:v>Rate +1.00%</c:v>
                </c:pt>
                <c:pt idx="5">
                  <c:v>Rate +1.50%</c:v>
                </c:pt>
              </c:strCache>
            </c:strRef>
          </c:cat>
          <c:val>
            <c:numRef>
              <c:f>Dashboard!$U$2:$U$7</c:f>
              <c:numCache>
                <c:formatCode>General</c:formatCode>
                <c:ptCount val="6"/>
                <c:pt idx="0">
                  <c:v>2236.1458837595983</c:v>
                </c:pt>
                <c:pt idx="1">
                  <c:v>2362.3177430506253</c:v>
                </c:pt>
                <c:pt idx="2">
                  <c:v>2491.556657775538</c:v>
                </c:pt>
                <c:pt idx="3">
                  <c:v>2623.707387717272</c:v>
                </c:pt>
                <c:pt idx="4">
                  <c:v>2758.6125331066632</c:v>
                </c:pt>
                <c:pt idx="5">
                  <c:v>2896.1140570391472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18-4141-91BE-904E3935D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Total Interest</c:v>
          </c:tx>
          <c:invertIfNegative val="1"/>
          <c:cat>
            <c:strRef>
              <c:f>Dashboard!$T$2:$T$7</c:f>
              <c:strCache>
                <c:ptCount val="6"/>
                <c:pt idx="0">
                  <c:v>Rate −1.00%</c:v>
                </c:pt>
                <c:pt idx="1">
                  <c:v>Rate −0.50%</c:v>
                </c:pt>
                <c:pt idx="2">
                  <c:v>Base Case</c:v>
                </c:pt>
                <c:pt idx="3">
                  <c:v>Rate +0.50%</c:v>
                </c:pt>
                <c:pt idx="4">
                  <c:v>Rate +1.00%</c:v>
                </c:pt>
                <c:pt idx="5">
                  <c:v>Rate +1.50%</c:v>
                </c:pt>
              </c:strCache>
            </c:strRef>
          </c:cat>
          <c:val>
            <c:numRef>
              <c:f>Dashboard!$V$2:$V$7</c:f>
              <c:numCache>
                <c:formatCode>General</c:formatCode>
                <c:ptCount val="6"/>
                <c:pt idx="0">
                  <c:v>405012.51815345534</c:v>
                </c:pt>
                <c:pt idx="1">
                  <c:v>450434.38749822509</c:v>
                </c:pt>
                <c:pt idx="2">
                  <c:v>496960.3967991937</c:v>
                </c:pt>
                <c:pt idx="3">
                  <c:v>544534.65957821789</c:v>
                </c:pt>
                <c:pt idx="4">
                  <c:v>593100.51191839878</c:v>
                </c:pt>
                <c:pt idx="5">
                  <c:v>642601.06053409295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5-45B5-BD72-C4C5D236E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Affordable Principal</c:v>
          </c:tx>
          <c:invertIfNegative val="1"/>
          <c:cat>
            <c:strRef>
              <c:f>Dashboard!$T$2:$T$7</c:f>
              <c:strCache>
                <c:ptCount val="6"/>
                <c:pt idx="0">
                  <c:v>Rate −1.00%</c:v>
                </c:pt>
                <c:pt idx="1">
                  <c:v>Rate −0.50%</c:v>
                </c:pt>
                <c:pt idx="2">
                  <c:v>Base Case</c:v>
                </c:pt>
                <c:pt idx="3">
                  <c:v>Rate +0.50%</c:v>
                </c:pt>
                <c:pt idx="4">
                  <c:v>Rate +1.00%</c:v>
                </c:pt>
                <c:pt idx="5">
                  <c:v>Rate +1.50%</c:v>
                </c:pt>
              </c:strCache>
            </c:strRef>
          </c:cat>
          <c:val>
            <c:numRef>
              <c:f>Dashboard!$W$2:$W$7</c:f>
              <c:numCache>
                <c:formatCode>General</c:formatCode>
                <c:ptCount val="6"/>
                <c:pt idx="0">
                  <c:v>447198.01479083864</c:v>
                </c:pt>
                <c:pt idx="1">
                  <c:v>423313.08010607847</c:v>
                </c:pt>
                <c:pt idx="2">
                  <c:v>401355.51277923072</c:v>
                </c:pt>
                <c:pt idx="3">
                  <c:v>381140.06336279528</c:v>
                </c:pt>
                <c:pt idx="4">
                  <c:v>362501.07182462222</c:v>
                </c:pt>
                <c:pt idx="5">
                  <c:v>345290.26837511855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E-4E8D-8747-2F4433892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11</xdr:row>
      <xdr:rowOff>0</xdr:rowOff>
    </xdr:from>
    <xdr:to>
      <xdr:col>15</xdr:col>
      <xdr:colOff>435429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8</xdr:col>
      <xdr:colOff>0</xdr:colOff>
      <xdr:row>50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15</xdr:col>
      <xdr:colOff>421821</xdr:colOff>
      <xdr:row>50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MortgageRates" displayName="tblMortgageRates" ref="A1:F2878">
  <tableColumns count="6">
    <tableColumn id="1" xr3:uid="{00000000-0010-0000-0000-000001000000}" name="observation_date"/>
    <tableColumn id="2" xr3:uid="{00000000-0010-0000-0000-000002000000}" name="MORTGAGE30US"/>
    <tableColumn id="3" xr3:uid="{00000000-0010-0000-0000-000003000000}" name="Rate_Decimal"/>
    <tableColumn id="4" xr3:uid="{00000000-0010-0000-0000-000004000000}" name="Year"/>
    <tableColumn id="5" xr3:uid="{00000000-0010-0000-0000-000005000000}" name="Month_Year"/>
    <tableColumn id="6" xr3:uid="{00000000-0010-0000-0000-000006000000}" name="CurrentRateL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opLeftCell="A14" workbookViewId="0">
      <selection activeCell="F23" sqref="F23"/>
    </sheetView>
  </sheetViews>
  <sheetFormatPr defaultRowHeight="15" x14ac:dyDescent="0.25"/>
  <cols>
    <col min="1" max="1" width="21.28515625" customWidth="1"/>
    <col min="2" max="2" width="40" customWidth="1"/>
    <col min="3" max="3" width="30" customWidth="1"/>
    <col min="4" max="4" width="20" customWidth="1"/>
    <col min="5" max="5" width="30" customWidth="1"/>
    <col min="6" max="6" width="20" customWidth="1"/>
  </cols>
  <sheetData>
    <row r="1" spans="1:6" ht="36" customHeight="1" x14ac:dyDescent="0.25">
      <c r="A1" s="70" t="s">
        <v>0</v>
      </c>
      <c r="B1" s="71"/>
      <c r="C1" s="71"/>
      <c r="D1" s="71"/>
      <c r="E1" s="71"/>
      <c r="F1" s="71"/>
    </row>
    <row r="2" spans="1:6" ht="16.5" customHeight="1" x14ac:dyDescent="0.25">
      <c r="F2" s="3" t="str">
        <f>IF(OR(ISERROR(Rate_Shock_Model!D13),ISERROR(Rate_Shock_Model!F13),ISERROR(Refinance_Analysis!B16),ISERROR(Amortization_Schedule!I5),Amortization_Schedule!I6&lt;&gt;"✓ PASS",Amortization_Schedule!I8&lt;&gt;"✓ PASS"),"⚠ Issues Detected — Check Model Sheets","✓ All Key Cells OK")</f>
        <v>✓ All Key Cells OK</v>
      </c>
    </row>
    <row r="3" spans="1:6" ht="16.5" customHeight="1" x14ac:dyDescent="0.25">
      <c r="A3" s="4" t="s">
        <v>1</v>
      </c>
      <c r="B3" t="s">
        <v>2</v>
      </c>
    </row>
    <row r="4" spans="1:6" ht="16.5" customHeight="1" x14ac:dyDescent="0.25">
      <c r="A4" s="5" t="s">
        <v>3</v>
      </c>
      <c r="B4" t="s">
        <v>4</v>
      </c>
    </row>
    <row r="5" spans="1:6" ht="16.5" customHeight="1" x14ac:dyDescent="0.25"/>
    <row r="6" spans="1:6" ht="16.5" customHeight="1" x14ac:dyDescent="0.25">
      <c r="A6" s="6" t="s">
        <v>5</v>
      </c>
    </row>
    <row r="7" spans="1:6" ht="45" customHeight="1" x14ac:dyDescent="0.25">
      <c r="A7" s="74" t="s">
        <v>6</v>
      </c>
      <c r="B7" s="75"/>
      <c r="C7" s="75"/>
      <c r="D7" s="75"/>
      <c r="E7" s="75"/>
      <c r="F7" s="75"/>
    </row>
    <row r="8" spans="1:6" ht="16.5" customHeight="1" x14ac:dyDescent="0.25">
      <c r="A8" s="76"/>
      <c r="B8" s="76"/>
      <c r="C8" s="76"/>
      <c r="D8" s="76"/>
      <c r="E8" s="76"/>
      <c r="F8" s="76"/>
    </row>
    <row r="9" spans="1:6" ht="16.5" customHeight="1" x14ac:dyDescent="0.25">
      <c r="A9" s="6" t="s">
        <v>7</v>
      </c>
    </row>
    <row r="10" spans="1:6" ht="15" customHeight="1" x14ac:dyDescent="0.25">
      <c r="A10" s="7" t="s">
        <v>8</v>
      </c>
      <c r="B10" s="8" t="s">
        <v>9</v>
      </c>
      <c r="C10" s="8" t="s">
        <v>10</v>
      </c>
      <c r="D10" s="77" t="s">
        <v>11</v>
      </c>
      <c r="E10" s="77"/>
    </row>
    <row r="11" spans="1:6" s="2" customFormat="1" ht="30" customHeight="1" x14ac:dyDescent="0.25">
      <c r="A11" s="3" t="s">
        <v>12</v>
      </c>
      <c r="B11" s="9" t="s">
        <v>13</v>
      </c>
      <c r="C11" s="9" t="s">
        <v>14</v>
      </c>
      <c r="D11" t="s">
        <v>15</v>
      </c>
    </row>
    <row r="12" spans="1:6" ht="30" customHeight="1" x14ac:dyDescent="0.25">
      <c r="A12" s="3" t="s">
        <v>16</v>
      </c>
      <c r="B12" s="9" t="s">
        <v>17</v>
      </c>
      <c r="C12" s="9" t="s">
        <v>18</v>
      </c>
      <c r="D12" t="s">
        <v>19</v>
      </c>
    </row>
    <row r="13" spans="1:6" ht="30" customHeight="1" x14ac:dyDescent="0.25">
      <c r="A13" s="3" t="s">
        <v>20</v>
      </c>
      <c r="B13" s="9" t="s">
        <v>21</v>
      </c>
      <c r="C13" s="9" t="s">
        <v>22</v>
      </c>
      <c r="D13" t="s">
        <v>23</v>
      </c>
    </row>
    <row r="14" spans="1:6" ht="30" customHeight="1" x14ac:dyDescent="0.25">
      <c r="A14" s="3" t="s">
        <v>24</v>
      </c>
      <c r="B14" s="9" t="s">
        <v>25</v>
      </c>
      <c r="C14" s="9" t="s">
        <v>26</v>
      </c>
      <c r="D14" t="s">
        <v>19</v>
      </c>
    </row>
    <row r="15" spans="1:6" ht="30" customHeight="1" x14ac:dyDescent="0.25">
      <c r="A15" s="3" t="s">
        <v>27</v>
      </c>
      <c r="B15" s="9" t="s">
        <v>28</v>
      </c>
      <c r="C15" s="9" t="s">
        <v>29</v>
      </c>
      <c r="D15" t="s">
        <v>30</v>
      </c>
    </row>
    <row r="17" spans="1:4" ht="31.5" x14ac:dyDescent="0.25">
      <c r="A17" s="34" t="s">
        <v>31</v>
      </c>
    </row>
    <row r="18" spans="1:4" x14ac:dyDescent="0.25">
      <c r="A18" s="8" t="s">
        <v>32</v>
      </c>
      <c r="B18" s="8" t="s">
        <v>33</v>
      </c>
      <c r="C18" s="8" t="s">
        <v>34</v>
      </c>
      <c r="D18" s="8" t="s">
        <v>35</v>
      </c>
    </row>
    <row r="19" spans="1:4" x14ac:dyDescent="0.25">
      <c r="A19" s="10" t="s">
        <v>36</v>
      </c>
      <c r="B19" s="10" t="s">
        <v>37</v>
      </c>
      <c r="C19" s="10" t="s">
        <v>38</v>
      </c>
      <c r="D19" s="10" t="s">
        <v>39</v>
      </c>
    </row>
    <row r="20" spans="1:4" x14ac:dyDescent="0.25">
      <c r="A20" s="10" t="s">
        <v>40</v>
      </c>
      <c r="B20" s="10" t="s">
        <v>41</v>
      </c>
      <c r="C20" s="10" t="s">
        <v>42</v>
      </c>
      <c r="D20" s="10" t="s">
        <v>12</v>
      </c>
    </row>
    <row r="21" spans="1:4" x14ac:dyDescent="0.25">
      <c r="A21" s="10" t="s">
        <v>43</v>
      </c>
      <c r="B21" s="10" t="s">
        <v>44</v>
      </c>
      <c r="C21" s="10" t="s">
        <v>45</v>
      </c>
      <c r="D21" s="10" t="s">
        <v>46</v>
      </c>
    </row>
    <row r="22" spans="1:4" x14ac:dyDescent="0.25">
      <c r="A22" s="10" t="s">
        <v>47</v>
      </c>
      <c r="B22" s="10" t="s">
        <v>48</v>
      </c>
      <c r="C22" s="10" t="s">
        <v>49</v>
      </c>
      <c r="D22" s="10" t="s">
        <v>50</v>
      </c>
    </row>
    <row r="23" spans="1:4" x14ac:dyDescent="0.25">
      <c r="A23" s="10" t="s">
        <v>51</v>
      </c>
      <c r="B23" s="10" t="s">
        <v>52</v>
      </c>
      <c r="C23" s="10" t="s">
        <v>53</v>
      </c>
      <c r="D23" s="10" t="s">
        <v>54</v>
      </c>
    </row>
    <row r="24" spans="1:4" x14ac:dyDescent="0.25">
      <c r="A24" s="10" t="s">
        <v>55</v>
      </c>
      <c r="B24" s="10" t="s">
        <v>56</v>
      </c>
      <c r="C24" s="10" t="s">
        <v>57</v>
      </c>
      <c r="D24" s="10" t="s">
        <v>27</v>
      </c>
    </row>
    <row r="25" spans="1:4" x14ac:dyDescent="0.25">
      <c r="A25" s="10" t="s">
        <v>58</v>
      </c>
      <c r="B25" s="10" t="s">
        <v>59</v>
      </c>
      <c r="C25" s="10" t="s">
        <v>60</v>
      </c>
      <c r="D25" s="10" t="s">
        <v>46</v>
      </c>
    </row>
    <row r="27" spans="1:4" ht="31.5" x14ac:dyDescent="0.25">
      <c r="A27" s="34" t="s">
        <v>61</v>
      </c>
      <c r="B27" s="35"/>
      <c r="C27" s="35"/>
    </row>
    <row r="28" spans="1:4" x14ac:dyDescent="0.25">
      <c r="A28" s="8" t="s">
        <v>62</v>
      </c>
      <c r="B28" s="77" t="s">
        <v>63</v>
      </c>
      <c r="C28" s="77"/>
    </row>
    <row r="29" spans="1:4" x14ac:dyDescent="0.25">
      <c r="A29" s="3" t="s">
        <v>64</v>
      </c>
      <c r="B29" s="10" t="s">
        <v>65</v>
      </c>
    </row>
    <row r="30" spans="1:4" x14ac:dyDescent="0.25">
      <c r="A30" s="3" t="s">
        <v>66</v>
      </c>
      <c r="B30" s="10" t="s">
        <v>67</v>
      </c>
    </row>
    <row r="31" spans="1:4" x14ac:dyDescent="0.25">
      <c r="A31" s="3" t="s">
        <v>68</v>
      </c>
      <c r="B31" s="10" t="s">
        <v>69</v>
      </c>
    </row>
    <row r="32" spans="1:4" x14ac:dyDescent="0.25">
      <c r="A32" s="3" t="s">
        <v>70</v>
      </c>
      <c r="B32" s="10" t="s">
        <v>71</v>
      </c>
    </row>
    <row r="33" spans="1:6" x14ac:dyDescent="0.25">
      <c r="A33" s="3" t="s">
        <v>72</v>
      </c>
      <c r="B33" s="10" t="s">
        <v>73</v>
      </c>
    </row>
    <row r="34" spans="1:6" x14ac:dyDescent="0.25">
      <c r="A34" s="3" t="s">
        <v>74</v>
      </c>
      <c r="B34" s="10" t="s">
        <v>75</v>
      </c>
    </row>
    <row r="35" spans="1:6" x14ac:dyDescent="0.25">
      <c r="A35" s="3" t="s">
        <v>76</v>
      </c>
      <c r="B35" s="10" t="s">
        <v>77</v>
      </c>
    </row>
    <row r="36" spans="1:6" x14ac:dyDescent="0.25">
      <c r="A36" s="3" t="s">
        <v>78</v>
      </c>
      <c r="B36" s="10" t="s">
        <v>79</v>
      </c>
    </row>
    <row r="37" spans="1:6" ht="15.75" x14ac:dyDescent="0.25">
      <c r="A37" s="59" t="s">
        <v>80</v>
      </c>
      <c r="B37" s="59"/>
    </row>
    <row r="38" spans="1:6" x14ac:dyDescent="0.25">
      <c r="A38" s="3" t="s">
        <v>81</v>
      </c>
      <c r="D38" s="3" t="s">
        <v>82</v>
      </c>
    </row>
    <row r="39" spans="1:6" x14ac:dyDescent="0.25">
      <c r="A39" s="10" t="s">
        <v>83</v>
      </c>
      <c r="D39" s="10" t="s">
        <v>84</v>
      </c>
    </row>
    <row r="40" spans="1:6" x14ac:dyDescent="0.25">
      <c r="A40" s="10" t="s">
        <v>85</v>
      </c>
      <c r="D40" s="10" t="s">
        <v>86</v>
      </c>
    </row>
    <row r="41" spans="1:6" x14ac:dyDescent="0.25">
      <c r="A41" s="10" t="s">
        <v>87</v>
      </c>
      <c r="D41" s="10" t="s">
        <v>88</v>
      </c>
    </row>
    <row r="42" spans="1:6" x14ac:dyDescent="0.25">
      <c r="A42" s="10" t="s">
        <v>89</v>
      </c>
      <c r="D42" s="10" t="s">
        <v>90</v>
      </c>
    </row>
    <row r="43" spans="1:6" x14ac:dyDescent="0.25">
      <c r="A43" s="10" t="s">
        <v>91</v>
      </c>
      <c r="D43" s="10" t="s">
        <v>92</v>
      </c>
    </row>
    <row r="44" spans="1:6" x14ac:dyDescent="0.25">
      <c r="D44" s="10" t="s">
        <v>93</v>
      </c>
    </row>
    <row r="45" spans="1:6" ht="15.75" x14ac:dyDescent="0.25">
      <c r="A45" s="59" t="s">
        <v>94</v>
      </c>
      <c r="B45" s="59"/>
      <c r="C45" s="59"/>
      <c r="D45" s="59"/>
      <c r="E45" s="59"/>
      <c r="F45" s="59"/>
    </row>
    <row r="46" spans="1:6" ht="80.099999999999994" customHeight="1" x14ac:dyDescent="0.25">
      <c r="A46" s="72" t="s">
        <v>217</v>
      </c>
      <c r="B46" s="73"/>
      <c r="C46" s="73"/>
      <c r="D46" s="73"/>
      <c r="E46" s="73"/>
      <c r="F46" s="73"/>
    </row>
    <row r="47" spans="1:6" x14ac:dyDescent="0.25">
      <c r="A47" s="73"/>
      <c r="B47" s="73"/>
      <c r="C47" s="73"/>
      <c r="D47" s="73"/>
      <c r="E47" s="73"/>
      <c r="F47" s="73"/>
    </row>
    <row r="48" spans="1:6" x14ac:dyDescent="0.25">
      <c r="A48" s="73"/>
      <c r="B48" s="73"/>
      <c r="C48" s="73"/>
      <c r="D48" s="73"/>
      <c r="E48" s="73"/>
      <c r="F48" s="73"/>
    </row>
    <row r="49" spans="1:6" x14ac:dyDescent="0.25">
      <c r="A49" s="73"/>
      <c r="B49" s="73"/>
      <c r="C49" s="73"/>
      <c r="D49" s="73"/>
      <c r="E49" s="73"/>
      <c r="F49" s="73"/>
    </row>
    <row r="50" spans="1:6" x14ac:dyDescent="0.25">
      <c r="A50" s="73"/>
      <c r="B50" s="73"/>
      <c r="C50" s="73"/>
      <c r="D50" s="73"/>
      <c r="E50" s="73"/>
      <c r="F50" s="73"/>
    </row>
    <row r="51" spans="1:6" ht="15.75" x14ac:dyDescent="0.25">
      <c r="A51" s="59" t="s">
        <v>95</v>
      </c>
      <c r="B51" s="59"/>
      <c r="C51" s="59"/>
      <c r="D51" s="59"/>
    </row>
    <row r="52" spans="1:6" x14ac:dyDescent="0.25">
      <c r="A52" s="3" t="s">
        <v>96</v>
      </c>
      <c r="B52" s="10" t="s">
        <v>97</v>
      </c>
    </row>
    <row r="53" spans="1:6" x14ac:dyDescent="0.25">
      <c r="A53" s="3" t="s">
        <v>98</v>
      </c>
      <c r="B53" s="10" t="s">
        <v>99</v>
      </c>
    </row>
    <row r="54" spans="1:6" x14ac:dyDescent="0.25">
      <c r="A54" s="3" t="s">
        <v>100</v>
      </c>
      <c r="B54" s="10" t="s">
        <v>101</v>
      </c>
    </row>
    <row r="55" spans="1:6" x14ac:dyDescent="0.25">
      <c r="A55" s="3" t="s">
        <v>102</v>
      </c>
      <c r="B55" s="10" t="s">
        <v>103</v>
      </c>
    </row>
    <row r="56" spans="1:6" x14ac:dyDescent="0.25">
      <c r="A56" s="3" t="s">
        <v>104</v>
      </c>
      <c r="B56" s="10" t="s">
        <v>105</v>
      </c>
    </row>
    <row r="57" spans="1:6" x14ac:dyDescent="0.25">
      <c r="A57" s="3" t="s">
        <v>106</v>
      </c>
      <c r="B57" s="10" t="s">
        <v>107</v>
      </c>
    </row>
  </sheetData>
  <mergeCells count="8">
    <mergeCell ref="A51:D51"/>
    <mergeCell ref="A1:F1"/>
    <mergeCell ref="A46:F50"/>
    <mergeCell ref="A7:F8"/>
    <mergeCell ref="A45:F45"/>
    <mergeCell ref="B28:C28"/>
    <mergeCell ref="A37:B37"/>
    <mergeCell ref="D10:E10"/>
  </mergeCells>
  <conditionalFormatting sqref="F2">
    <cfRule type="expression" dxfId="23" priority="1">
      <formula>ISNUMBER(SEARCH("OK",F2))</formula>
    </cfRule>
    <cfRule type="expression" dxfId="22" priority="2">
      <formula>ISNUMBER(SEARCH("Issues",F2))</formula>
    </cfRule>
    <cfRule type="expression" dxfId="21" priority="3">
      <formula>ISNUMBER(SEARCH("OK",F2))</formula>
    </cfRule>
    <cfRule type="expression" dxfId="20" priority="4">
      <formula>ISNUMBER(SEARCH("Issues",F2))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878"/>
  <sheetViews>
    <sheetView tabSelected="1" workbookViewId="0"/>
  </sheetViews>
  <sheetFormatPr defaultRowHeight="15" x14ac:dyDescent="0.25"/>
  <cols>
    <col min="1" max="1" width="17" customWidth="1"/>
    <col min="2" max="2" width="16.5703125" customWidth="1"/>
    <col min="3" max="3" width="14" customWidth="1"/>
    <col min="4" max="4" width="6.140625" customWidth="1"/>
    <col min="5" max="5" width="12.7109375" customWidth="1"/>
    <col min="6" max="6" width="15.85546875" customWidth="1"/>
    <col min="7" max="7" width="24" customWidth="1"/>
    <col min="8" max="8" width="18" customWidth="1"/>
  </cols>
  <sheetData>
    <row r="1" spans="1:8" ht="15.75" x14ac:dyDescent="0.25">
      <c r="A1" s="8" t="s">
        <v>108</v>
      </c>
      <c r="B1" s="8" t="s">
        <v>109</v>
      </c>
      <c r="C1" s="40" t="s">
        <v>110</v>
      </c>
      <c r="D1" s="8" t="s">
        <v>111</v>
      </c>
      <c r="E1" s="8" t="s">
        <v>112</v>
      </c>
      <c r="F1" s="41" t="s">
        <v>113</v>
      </c>
      <c r="G1" s="38" t="s">
        <v>193</v>
      </c>
      <c r="H1" s="39"/>
    </row>
    <row r="2" spans="1:8" x14ac:dyDescent="0.25">
      <c r="A2" s="1">
        <v>26025</v>
      </c>
      <c r="B2">
        <v>7.33</v>
      </c>
      <c r="C2" s="11">
        <f t="shared" ref="C2:C65" si="0">B2/100</f>
        <v>7.3300000000000004E-2</v>
      </c>
      <c r="D2">
        <f t="shared" ref="D2:D65" si="1">YEAR(A2)</f>
        <v>1971</v>
      </c>
      <c r="E2" t="str">
        <f t="shared" ref="E2:E65" si="2">TEXT(A2,"MMM-YYYY")</f>
        <v>Apr-1971</v>
      </c>
      <c r="F2" s="12">
        <f t="shared" ref="F2:F65" si="3">$H$2</f>
        <v>6.36</v>
      </c>
      <c r="G2" s="3" t="s">
        <v>194</v>
      </c>
      <c r="H2" s="12">
        <f>INDEX(B:B,COUNTA(B:B))</f>
        <v>6.36</v>
      </c>
    </row>
    <row r="3" spans="1:8" x14ac:dyDescent="0.25">
      <c r="A3" s="1">
        <v>26032</v>
      </c>
      <c r="B3">
        <v>7.31</v>
      </c>
      <c r="C3" s="11">
        <f t="shared" si="0"/>
        <v>7.3099999999999998E-2</v>
      </c>
      <c r="D3">
        <f t="shared" si="1"/>
        <v>1971</v>
      </c>
      <c r="E3" t="str">
        <f t="shared" si="2"/>
        <v>Apr-1971</v>
      </c>
      <c r="F3" s="12">
        <f t="shared" si="3"/>
        <v>6.36</v>
      </c>
      <c r="G3" s="3" t="s">
        <v>195</v>
      </c>
      <c r="H3" s="12">
        <f>MIN(B:B)</f>
        <v>2.65</v>
      </c>
    </row>
    <row r="4" spans="1:8" x14ac:dyDescent="0.25">
      <c r="A4" s="1">
        <v>26039</v>
      </c>
      <c r="B4">
        <v>7.31</v>
      </c>
      <c r="C4" s="11">
        <f t="shared" si="0"/>
        <v>7.3099999999999998E-2</v>
      </c>
      <c r="D4">
        <f t="shared" si="1"/>
        <v>1971</v>
      </c>
      <c r="E4" t="str">
        <f t="shared" si="2"/>
        <v>Apr-1971</v>
      </c>
      <c r="F4" s="12">
        <f t="shared" si="3"/>
        <v>6.36</v>
      </c>
      <c r="G4" s="3" t="s">
        <v>196</v>
      </c>
      <c r="H4" s="12">
        <f>MAX(B:B)</f>
        <v>18.63</v>
      </c>
    </row>
    <row r="5" spans="1:8" x14ac:dyDescent="0.25">
      <c r="A5" s="1">
        <v>26046</v>
      </c>
      <c r="B5">
        <v>7.31</v>
      </c>
      <c r="C5" s="11">
        <f t="shared" si="0"/>
        <v>7.3099999999999998E-2</v>
      </c>
      <c r="D5">
        <f t="shared" si="1"/>
        <v>1971</v>
      </c>
      <c r="E5" t="str">
        <f t="shared" si="2"/>
        <v>Apr-1971</v>
      </c>
      <c r="F5" s="12">
        <f t="shared" si="3"/>
        <v>6.36</v>
      </c>
      <c r="G5" s="3" t="s">
        <v>197</v>
      </c>
      <c r="H5" s="12">
        <f>AVERAGE(B:B)</f>
        <v>7.6876329509905856</v>
      </c>
    </row>
    <row r="6" spans="1:8" x14ac:dyDescent="0.25">
      <c r="A6" s="1">
        <v>26053</v>
      </c>
      <c r="B6">
        <v>7.29</v>
      </c>
      <c r="C6" s="11">
        <f t="shared" si="0"/>
        <v>7.2900000000000006E-2</v>
      </c>
      <c r="D6">
        <f t="shared" si="1"/>
        <v>1971</v>
      </c>
      <c r="E6" t="str">
        <f t="shared" si="2"/>
        <v>Apr-1971</v>
      </c>
      <c r="F6" s="12">
        <f t="shared" si="3"/>
        <v>6.36</v>
      </c>
      <c r="G6" s="3" t="s">
        <v>198</v>
      </c>
      <c r="H6" s="12">
        <f>AVERAGE(B2827:B2878)</f>
        <v>6.3701923076923102</v>
      </c>
    </row>
    <row r="7" spans="1:8" x14ac:dyDescent="0.25">
      <c r="A7" s="1">
        <v>26060</v>
      </c>
      <c r="B7">
        <v>7.38</v>
      </c>
      <c r="C7" s="11">
        <f t="shared" si="0"/>
        <v>7.3800000000000004E-2</v>
      </c>
      <c r="D7">
        <f t="shared" si="1"/>
        <v>1971</v>
      </c>
      <c r="E7" t="str">
        <f t="shared" si="2"/>
        <v>May-1971</v>
      </c>
      <c r="F7" s="12">
        <f t="shared" si="3"/>
        <v>6.36</v>
      </c>
      <c r="G7" s="3" t="s">
        <v>199</v>
      </c>
      <c r="H7" s="35" t="str">
        <f>TEXT(INDEX(A:A,2),"mmm d, yyyy")</f>
        <v>Apr 2, 1971</v>
      </c>
    </row>
    <row r="8" spans="1:8" x14ac:dyDescent="0.25">
      <c r="A8" s="1">
        <v>26067</v>
      </c>
      <c r="B8">
        <v>7.42</v>
      </c>
      <c r="C8" s="11">
        <f t="shared" si="0"/>
        <v>7.4200000000000002E-2</v>
      </c>
      <c r="D8">
        <f t="shared" si="1"/>
        <v>1971</v>
      </c>
      <c r="E8" t="str">
        <f t="shared" si="2"/>
        <v>May-1971</v>
      </c>
      <c r="F8" s="12">
        <f t="shared" si="3"/>
        <v>6.36</v>
      </c>
      <c r="G8" s="3" t="s">
        <v>200</v>
      </c>
      <c r="H8" s="35" t="str">
        <f>TEXT(INDEX(A:A,COUNTA(B:B)),"mmm d, yyyy")</f>
        <v>May 14, 2026</v>
      </c>
    </row>
    <row r="9" spans="1:8" x14ac:dyDescent="0.25">
      <c r="A9" s="1">
        <v>26074</v>
      </c>
      <c r="B9">
        <v>7.44</v>
      </c>
      <c r="C9" s="11">
        <f t="shared" si="0"/>
        <v>7.4400000000000008E-2</v>
      </c>
      <c r="D9">
        <f t="shared" si="1"/>
        <v>1971</v>
      </c>
      <c r="E9" t="str">
        <f t="shared" si="2"/>
        <v>May-1971</v>
      </c>
      <c r="F9" s="12">
        <f t="shared" si="3"/>
        <v>6.36</v>
      </c>
    </row>
    <row r="10" spans="1:8" x14ac:dyDescent="0.25">
      <c r="A10" s="1">
        <v>26081</v>
      </c>
      <c r="B10">
        <v>7.46</v>
      </c>
      <c r="C10" s="11">
        <f t="shared" si="0"/>
        <v>7.46E-2</v>
      </c>
      <c r="D10">
        <f t="shared" si="1"/>
        <v>1971</v>
      </c>
      <c r="E10" t="str">
        <f t="shared" si="2"/>
        <v>May-1971</v>
      </c>
      <c r="F10" s="12">
        <f t="shared" si="3"/>
        <v>6.36</v>
      </c>
    </row>
    <row r="11" spans="1:8" x14ac:dyDescent="0.25">
      <c r="A11" s="1">
        <v>26088</v>
      </c>
      <c r="B11">
        <v>7.52</v>
      </c>
      <c r="C11" s="11">
        <f t="shared" si="0"/>
        <v>7.5199999999999989E-2</v>
      </c>
      <c r="D11">
        <f t="shared" si="1"/>
        <v>1971</v>
      </c>
      <c r="E11" t="str">
        <f t="shared" si="2"/>
        <v>Jun-1971</v>
      </c>
      <c r="F11" s="12">
        <f t="shared" si="3"/>
        <v>6.36</v>
      </c>
    </row>
    <row r="12" spans="1:8" x14ac:dyDescent="0.25">
      <c r="A12" s="1">
        <v>26095</v>
      </c>
      <c r="B12">
        <v>7.52</v>
      </c>
      <c r="C12" s="11">
        <f t="shared" si="0"/>
        <v>7.5199999999999989E-2</v>
      </c>
      <c r="D12">
        <f t="shared" si="1"/>
        <v>1971</v>
      </c>
      <c r="E12" t="str">
        <f t="shared" si="2"/>
        <v>Jun-1971</v>
      </c>
      <c r="F12" s="12">
        <f t="shared" si="3"/>
        <v>6.36</v>
      </c>
    </row>
    <row r="13" spans="1:8" x14ac:dyDescent="0.25">
      <c r="A13" s="1">
        <v>26102</v>
      </c>
      <c r="B13">
        <v>7.54</v>
      </c>
      <c r="C13" s="11">
        <f t="shared" si="0"/>
        <v>7.5399999999999995E-2</v>
      </c>
      <c r="D13">
        <f t="shared" si="1"/>
        <v>1971</v>
      </c>
      <c r="E13" t="str">
        <f t="shared" si="2"/>
        <v>Jun-1971</v>
      </c>
      <c r="F13" s="12">
        <f t="shared" si="3"/>
        <v>6.36</v>
      </c>
    </row>
    <row r="14" spans="1:8" x14ac:dyDescent="0.25">
      <c r="A14" s="1">
        <v>26109</v>
      </c>
      <c r="B14">
        <v>7.54</v>
      </c>
      <c r="C14" s="11">
        <f t="shared" si="0"/>
        <v>7.5399999999999995E-2</v>
      </c>
      <c r="D14">
        <f t="shared" si="1"/>
        <v>1971</v>
      </c>
      <c r="E14" t="str">
        <f t="shared" si="2"/>
        <v>Jun-1971</v>
      </c>
      <c r="F14" s="12">
        <f t="shared" si="3"/>
        <v>6.36</v>
      </c>
    </row>
    <row r="15" spans="1:8" x14ac:dyDescent="0.25">
      <c r="A15" s="1">
        <v>26116</v>
      </c>
      <c r="B15">
        <v>7.54</v>
      </c>
      <c r="C15" s="11">
        <f t="shared" si="0"/>
        <v>7.5399999999999995E-2</v>
      </c>
      <c r="D15">
        <f t="shared" si="1"/>
        <v>1971</v>
      </c>
      <c r="E15" t="str">
        <f t="shared" si="2"/>
        <v>Jul-1971</v>
      </c>
      <c r="F15" s="12">
        <f t="shared" si="3"/>
        <v>6.36</v>
      </c>
    </row>
    <row r="16" spans="1:8" x14ac:dyDescent="0.25">
      <c r="A16" s="1">
        <v>26123</v>
      </c>
      <c r="B16">
        <v>7.54</v>
      </c>
      <c r="C16" s="11">
        <f t="shared" si="0"/>
        <v>7.5399999999999995E-2</v>
      </c>
      <c r="D16">
        <f t="shared" si="1"/>
        <v>1971</v>
      </c>
      <c r="E16" t="str">
        <f t="shared" si="2"/>
        <v>Jul-1971</v>
      </c>
      <c r="F16" s="12">
        <f t="shared" si="3"/>
        <v>6.36</v>
      </c>
    </row>
    <row r="17" spans="1:6" x14ac:dyDescent="0.25">
      <c r="A17" s="1">
        <v>26130</v>
      </c>
      <c r="B17">
        <v>7.6</v>
      </c>
      <c r="C17" s="11">
        <f t="shared" si="0"/>
        <v>7.5999999999999998E-2</v>
      </c>
      <c r="D17">
        <f t="shared" si="1"/>
        <v>1971</v>
      </c>
      <c r="E17" t="str">
        <f t="shared" si="2"/>
        <v>Jul-1971</v>
      </c>
      <c r="F17" s="12">
        <f t="shared" si="3"/>
        <v>6.36</v>
      </c>
    </row>
    <row r="18" spans="1:6" x14ac:dyDescent="0.25">
      <c r="A18" s="1">
        <v>26137</v>
      </c>
      <c r="B18">
        <v>7.65</v>
      </c>
      <c r="C18" s="11">
        <f t="shared" si="0"/>
        <v>7.6499999999999999E-2</v>
      </c>
      <c r="D18">
        <f t="shared" si="1"/>
        <v>1971</v>
      </c>
      <c r="E18" t="str">
        <f t="shared" si="2"/>
        <v>Jul-1971</v>
      </c>
      <c r="F18" s="12">
        <f t="shared" si="3"/>
        <v>6.36</v>
      </c>
    </row>
    <row r="19" spans="1:6" x14ac:dyDescent="0.25">
      <c r="A19" s="1">
        <v>26144</v>
      </c>
      <c r="B19">
        <v>7.69</v>
      </c>
      <c r="C19" s="11">
        <f t="shared" si="0"/>
        <v>7.690000000000001E-2</v>
      </c>
      <c r="D19">
        <f t="shared" si="1"/>
        <v>1971</v>
      </c>
      <c r="E19" t="str">
        <f t="shared" si="2"/>
        <v>Jul-1971</v>
      </c>
      <c r="F19" s="12">
        <f t="shared" si="3"/>
        <v>6.36</v>
      </c>
    </row>
    <row r="20" spans="1:6" x14ac:dyDescent="0.25">
      <c r="A20" s="1">
        <v>26151</v>
      </c>
      <c r="B20">
        <v>7.66</v>
      </c>
      <c r="C20" s="11">
        <f t="shared" si="0"/>
        <v>7.6600000000000001E-2</v>
      </c>
      <c r="D20">
        <f t="shared" si="1"/>
        <v>1971</v>
      </c>
      <c r="E20" t="str">
        <f t="shared" si="2"/>
        <v>Aug-1971</v>
      </c>
      <c r="F20" s="12">
        <f t="shared" si="3"/>
        <v>6.36</v>
      </c>
    </row>
    <row r="21" spans="1:6" x14ac:dyDescent="0.25">
      <c r="A21" s="1">
        <v>26158</v>
      </c>
      <c r="B21">
        <v>7.73</v>
      </c>
      <c r="C21" s="11">
        <f t="shared" si="0"/>
        <v>7.7300000000000008E-2</v>
      </c>
      <c r="D21">
        <f t="shared" si="1"/>
        <v>1971</v>
      </c>
      <c r="E21" t="str">
        <f t="shared" si="2"/>
        <v>Aug-1971</v>
      </c>
      <c r="F21" s="12">
        <f t="shared" si="3"/>
        <v>6.36</v>
      </c>
    </row>
    <row r="22" spans="1:6" x14ac:dyDescent="0.25">
      <c r="A22" s="1">
        <v>26165</v>
      </c>
      <c r="B22">
        <v>7.71</v>
      </c>
      <c r="C22" s="11">
        <f t="shared" si="0"/>
        <v>7.7100000000000002E-2</v>
      </c>
      <c r="D22">
        <f t="shared" si="1"/>
        <v>1971</v>
      </c>
      <c r="E22" t="str">
        <f t="shared" si="2"/>
        <v>Aug-1971</v>
      </c>
      <c r="F22" s="12">
        <f t="shared" si="3"/>
        <v>6.36</v>
      </c>
    </row>
    <row r="23" spans="1:6" x14ac:dyDescent="0.25">
      <c r="A23" s="1">
        <v>26172</v>
      </c>
      <c r="B23">
        <v>7.69</v>
      </c>
      <c r="C23" s="11">
        <f t="shared" si="0"/>
        <v>7.690000000000001E-2</v>
      </c>
      <c r="D23">
        <f t="shared" si="1"/>
        <v>1971</v>
      </c>
      <c r="E23" t="str">
        <f t="shared" si="2"/>
        <v>Aug-1971</v>
      </c>
      <c r="F23" s="12">
        <f t="shared" si="3"/>
        <v>6.36</v>
      </c>
    </row>
    <row r="24" spans="1:6" x14ac:dyDescent="0.25">
      <c r="A24" s="1">
        <v>26179</v>
      </c>
      <c r="B24">
        <v>7.71</v>
      </c>
      <c r="C24" s="11">
        <f t="shared" si="0"/>
        <v>7.7100000000000002E-2</v>
      </c>
      <c r="D24">
        <f t="shared" si="1"/>
        <v>1971</v>
      </c>
      <c r="E24" t="str">
        <f t="shared" si="2"/>
        <v>Sep-1971</v>
      </c>
      <c r="F24" s="12">
        <f t="shared" si="3"/>
        <v>6.36</v>
      </c>
    </row>
    <row r="25" spans="1:6" x14ac:dyDescent="0.25">
      <c r="A25" s="1">
        <v>26186</v>
      </c>
      <c r="B25">
        <v>7.67</v>
      </c>
      <c r="C25" s="11">
        <f t="shared" si="0"/>
        <v>7.6700000000000004E-2</v>
      </c>
      <c r="D25">
        <f t="shared" si="1"/>
        <v>1971</v>
      </c>
      <c r="E25" t="str">
        <f t="shared" si="2"/>
        <v>Sep-1971</v>
      </c>
      <c r="F25" s="12">
        <f t="shared" si="3"/>
        <v>6.36</v>
      </c>
    </row>
    <row r="26" spans="1:6" x14ac:dyDescent="0.25">
      <c r="A26" s="1">
        <v>26193</v>
      </c>
      <c r="B26">
        <v>7.7</v>
      </c>
      <c r="C26" s="11">
        <f t="shared" si="0"/>
        <v>7.6999999999999999E-2</v>
      </c>
      <c r="D26">
        <f t="shared" si="1"/>
        <v>1971</v>
      </c>
      <c r="E26" t="str">
        <f t="shared" si="2"/>
        <v>Sep-1971</v>
      </c>
      <c r="F26" s="12">
        <f t="shared" si="3"/>
        <v>6.36</v>
      </c>
    </row>
    <row r="27" spans="1:6" x14ac:dyDescent="0.25">
      <c r="A27" s="1">
        <v>26200</v>
      </c>
      <c r="B27">
        <v>7.67</v>
      </c>
      <c r="C27" s="11">
        <f t="shared" si="0"/>
        <v>7.6700000000000004E-2</v>
      </c>
      <c r="D27">
        <f t="shared" si="1"/>
        <v>1971</v>
      </c>
      <c r="E27" t="str">
        <f t="shared" si="2"/>
        <v>Sep-1971</v>
      </c>
      <c r="F27" s="12">
        <f t="shared" si="3"/>
        <v>6.36</v>
      </c>
    </row>
    <row r="28" spans="1:6" x14ac:dyDescent="0.25">
      <c r="A28" s="1">
        <v>26207</v>
      </c>
      <c r="B28">
        <v>7.67</v>
      </c>
      <c r="C28" s="11">
        <f t="shared" si="0"/>
        <v>7.6700000000000004E-2</v>
      </c>
      <c r="D28">
        <f t="shared" si="1"/>
        <v>1971</v>
      </c>
      <c r="E28" t="str">
        <f t="shared" si="2"/>
        <v>Oct-1971</v>
      </c>
      <c r="F28" s="12">
        <f t="shared" si="3"/>
        <v>6.36</v>
      </c>
    </row>
    <row r="29" spans="1:6" x14ac:dyDescent="0.25">
      <c r="A29" s="1">
        <v>26214</v>
      </c>
      <c r="B29">
        <v>7.63</v>
      </c>
      <c r="C29" s="11">
        <f t="shared" si="0"/>
        <v>7.6299999999999993E-2</v>
      </c>
      <c r="D29">
        <f t="shared" si="1"/>
        <v>1971</v>
      </c>
      <c r="E29" t="str">
        <f t="shared" si="2"/>
        <v>Oct-1971</v>
      </c>
      <c r="F29" s="12">
        <f t="shared" si="3"/>
        <v>6.36</v>
      </c>
    </row>
    <row r="30" spans="1:6" x14ac:dyDescent="0.25">
      <c r="A30" s="1">
        <v>26221</v>
      </c>
      <c r="B30">
        <v>7.63</v>
      </c>
      <c r="C30" s="11">
        <f t="shared" si="0"/>
        <v>7.6299999999999993E-2</v>
      </c>
      <c r="D30">
        <f t="shared" si="1"/>
        <v>1971</v>
      </c>
      <c r="E30" t="str">
        <f t="shared" si="2"/>
        <v>Oct-1971</v>
      </c>
      <c r="F30" s="12">
        <f t="shared" si="3"/>
        <v>6.36</v>
      </c>
    </row>
    <row r="31" spans="1:6" x14ac:dyDescent="0.25">
      <c r="A31" s="1">
        <v>26228</v>
      </c>
      <c r="B31">
        <v>7.58</v>
      </c>
      <c r="C31" s="11">
        <f t="shared" si="0"/>
        <v>7.5800000000000006E-2</v>
      </c>
      <c r="D31">
        <f t="shared" si="1"/>
        <v>1971</v>
      </c>
      <c r="E31" t="str">
        <f t="shared" si="2"/>
        <v>Oct-1971</v>
      </c>
      <c r="F31" s="12">
        <f t="shared" si="3"/>
        <v>6.36</v>
      </c>
    </row>
    <row r="32" spans="1:6" x14ac:dyDescent="0.25">
      <c r="A32" s="1">
        <v>26235</v>
      </c>
      <c r="B32">
        <v>7.63</v>
      </c>
      <c r="C32" s="11">
        <f t="shared" si="0"/>
        <v>7.6299999999999993E-2</v>
      </c>
      <c r="D32">
        <f t="shared" si="1"/>
        <v>1971</v>
      </c>
      <c r="E32" t="str">
        <f t="shared" si="2"/>
        <v>Oct-1971</v>
      </c>
      <c r="F32" s="12">
        <f t="shared" si="3"/>
        <v>6.36</v>
      </c>
    </row>
    <row r="33" spans="1:6" x14ac:dyDescent="0.25">
      <c r="A33" s="1">
        <v>26242</v>
      </c>
      <c r="B33">
        <v>7.59</v>
      </c>
      <c r="C33" s="11">
        <f t="shared" si="0"/>
        <v>7.5899999999999995E-2</v>
      </c>
      <c r="D33">
        <f t="shared" si="1"/>
        <v>1971</v>
      </c>
      <c r="E33" t="str">
        <f t="shared" si="2"/>
        <v>Nov-1971</v>
      </c>
      <c r="F33" s="12">
        <f t="shared" si="3"/>
        <v>6.36</v>
      </c>
    </row>
    <row r="34" spans="1:6" x14ac:dyDescent="0.25">
      <c r="A34" s="1">
        <v>26249</v>
      </c>
      <c r="B34">
        <v>7.56</v>
      </c>
      <c r="C34" s="11">
        <f t="shared" si="0"/>
        <v>7.5600000000000001E-2</v>
      </c>
      <c r="D34">
        <f t="shared" si="1"/>
        <v>1971</v>
      </c>
      <c r="E34" t="str">
        <f t="shared" si="2"/>
        <v>Nov-1971</v>
      </c>
      <c r="F34" s="12">
        <f t="shared" si="3"/>
        <v>6.36</v>
      </c>
    </row>
    <row r="35" spans="1:6" x14ac:dyDescent="0.25">
      <c r="A35" s="1">
        <v>26256</v>
      </c>
      <c r="B35">
        <v>7.54</v>
      </c>
      <c r="C35" s="11">
        <f t="shared" si="0"/>
        <v>7.5399999999999995E-2</v>
      </c>
      <c r="D35">
        <f t="shared" si="1"/>
        <v>1971</v>
      </c>
      <c r="E35" t="str">
        <f t="shared" si="2"/>
        <v>Nov-1971</v>
      </c>
      <c r="F35" s="12">
        <f t="shared" si="3"/>
        <v>6.36</v>
      </c>
    </row>
    <row r="36" spans="1:6" x14ac:dyDescent="0.25">
      <c r="A36" s="1">
        <v>26263</v>
      </c>
      <c r="B36">
        <v>7.51</v>
      </c>
      <c r="C36" s="11">
        <f t="shared" si="0"/>
        <v>7.51E-2</v>
      </c>
      <c r="D36">
        <f t="shared" si="1"/>
        <v>1971</v>
      </c>
      <c r="E36" t="str">
        <f t="shared" si="2"/>
        <v>Nov-1971</v>
      </c>
      <c r="F36" s="12">
        <f t="shared" si="3"/>
        <v>6.36</v>
      </c>
    </row>
    <row r="37" spans="1:6" x14ac:dyDescent="0.25">
      <c r="A37" s="1">
        <v>26270</v>
      </c>
      <c r="B37">
        <v>7.49</v>
      </c>
      <c r="C37" s="11">
        <f t="shared" si="0"/>
        <v>7.4900000000000008E-2</v>
      </c>
      <c r="D37">
        <f t="shared" si="1"/>
        <v>1971</v>
      </c>
      <c r="E37" t="str">
        <f t="shared" si="2"/>
        <v>Dec-1971</v>
      </c>
      <c r="F37" s="12">
        <f t="shared" si="3"/>
        <v>6.36</v>
      </c>
    </row>
    <row r="38" spans="1:6" x14ac:dyDescent="0.25">
      <c r="A38" s="1">
        <v>26277</v>
      </c>
      <c r="B38">
        <v>7.47</v>
      </c>
      <c r="C38" s="11">
        <f t="shared" si="0"/>
        <v>7.4700000000000003E-2</v>
      </c>
      <c r="D38">
        <f t="shared" si="1"/>
        <v>1971</v>
      </c>
      <c r="E38" t="str">
        <f t="shared" si="2"/>
        <v>Dec-1971</v>
      </c>
      <c r="F38" s="12">
        <f t="shared" si="3"/>
        <v>6.36</v>
      </c>
    </row>
    <row r="39" spans="1:6" x14ac:dyDescent="0.25">
      <c r="A39" s="1">
        <v>26284</v>
      </c>
      <c r="B39">
        <v>7.48</v>
      </c>
      <c r="C39" s="11">
        <f t="shared" si="0"/>
        <v>7.4800000000000005E-2</v>
      </c>
      <c r="D39">
        <f t="shared" si="1"/>
        <v>1971</v>
      </c>
      <c r="E39" t="str">
        <f t="shared" si="2"/>
        <v>Dec-1971</v>
      </c>
      <c r="F39" s="12">
        <f t="shared" si="3"/>
        <v>6.36</v>
      </c>
    </row>
    <row r="40" spans="1:6" x14ac:dyDescent="0.25">
      <c r="A40" s="1">
        <v>26291</v>
      </c>
      <c r="B40">
        <v>7.48</v>
      </c>
      <c r="C40" s="11">
        <f t="shared" si="0"/>
        <v>7.4800000000000005E-2</v>
      </c>
      <c r="D40">
        <f t="shared" si="1"/>
        <v>1971</v>
      </c>
      <c r="E40" t="str">
        <f t="shared" si="2"/>
        <v>Dec-1971</v>
      </c>
      <c r="F40" s="12">
        <f t="shared" si="3"/>
        <v>6.36</v>
      </c>
    </row>
    <row r="41" spans="1:6" x14ac:dyDescent="0.25">
      <c r="A41" s="1">
        <v>26298</v>
      </c>
      <c r="B41">
        <v>7.48</v>
      </c>
      <c r="C41" s="11">
        <f t="shared" si="0"/>
        <v>7.4800000000000005E-2</v>
      </c>
      <c r="D41">
        <f t="shared" si="1"/>
        <v>1971</v>
      </c>
      <c r="E41" t="str">
        <f t="shared" si="2"/>
        <v>Dec-1971</v>
      </c>
      <c r="F41" s="12">
        <f t="shared" si="3"/>
        <v>6.36</v>
      </c>
    </row>
    <row r="42" spans="1:6" x14ac:dyDescent="0.25">
      <c r="A42" s="1">
        <v>26305</v>
      </c>
      <c r="B42">
        <v>7.46</v>
      </c>
      <c r="C42" s="11">
        <f t="shared" si="0"/>
        <v>7.46E-2</v>
      </c>
      <c r="D42">
        <f t="shared" si="1"/>
        <v>1972</v>
      </c>
      <c r="E42" t="str">
        <f t="shared" si="2"/>
        <v>Jan-1972</v>
      </c>
      <c r="F42" s="12">
        <f t="shared" si="3"/>
        <v>6.36</v>
      </c>
    </row>
    <row r="43" spans="1:6" x14ac:dyDescent="0.25">
      <c r="A43" s="1">
        <v>26312</v>
      </c>
      <c r="B43">
        <v>7.46</v>
      </c>
      <c r="C43" s="11">
        <f t="shared" si="0"/>
        <v>7.46E-2</v>
      </c>
      <c r="D43">
        <f t="shared" si="1"/>
        <v>1972</v>
      </c>
      <c r="E43" t="str">
        <f t="shared" si="2"/>
        <v>Jan-1972</v>
      </c>
      <c r="F43" s="12">
        <f t="shared" si="3"/>
        <v>6.36</v>
      </c>
    </row>
    <row r="44" spans="1:6" x14ac:dyDescent="0.25">
      <c r="A44" s="1">
        <v>26319</v>
      </c>
      <c r="B44">
        <v>7.43</v>
      </c>
      <c r="C44" s="11">
        <f t="shared" si="0"/>
        <v>7.4299999999999991E-2</v>
      </c>
      <c r="D44">
        <f t="shared" si="1"/>
        <v>1972</v>
      </c>
      <c r="E44" t="str">
        <f t="shared" si="2"/>
        <v>Jan-1972</v>
      </c>
      <c r="F44" s="12">
        <f t="shared" si="3"/>
        <v>6.36</v>
      </c>
    </row>
    <row r="45" spans="1:6" x14ac:dyDescent="0.25">
      <c r="A45" s="1">
        <v>26326</v>
      </c>
      <c r="B45">
        <v>7.4</v>
      </c>
      <c r="C45" s="11">
        <f t="shared" si="0"/>
        <v>7.400000000000001E-2</v>
      </c>
      <c r="D45">
        <f t="shared" si="1"/>
        <v>1972</v>
      </c>
      <c r="E45" t="str">
        <f t="shared" si="2"/>
        <v>Jan-1972</v>
      </c>
      <c r="F45" s="12">
        <f t="shared" si="3"/>
        <v>6.36</v>
      </c>
    </row>
    <row r="46" spans="1:6" x14ac:dyDescent="0.25">
      <c r="A46" s="1">
        <v>26333</v>
      </c>
      <c r="B46">
        <v>7.35</v>
      </c>
      <c r="C46" s="11">
        <f t="shared" si="0"/>
        <v>7.3499999999999996E-2</v>
      </c>
      <c r="D46">
        <f t="shared" si="1"/>
        <v>1972</v>
      </c>
      <c r="E46" t="str">
        <f t="shared" si="2"/>
        <v>Feb-1972</v>
      </c>
      <c r="F46" s="12">
        <f t="shared" si="3"/>
        <v>6.36</v>
      </c>
    </row>
    <row r="47" spans="1:6" x14ac:dyDescent="0.25">
      <c r="A47" s="1">
        <v>26340</v>
      </c>
      <c r="B47">
        <v>7.33</v>
      </c>
      <c r="C47" s="11">
        <f t="shared" si="0"/>
        <v>7.3300000000000004E-2</v>
      </c>
      <c r="D47">
        <f t="shared" si="1"/>
        <v>1972</v>
      </c>
      <c r="E47" t="str">
        <f t="shared" si="2"/>
        <v>Feb-1972</v>
      </c>
      <c r="F47" s="12">
        <f t="shared" si="3"/>
        <v>6.36</v>
      </c>
    </row>
    <row r="48" spans="1:6" x14ac:dyDescent="0.25">
      <c r="A48" s="1">
        <v>26347</v>
      </c>
      <c r="B48">
        <v>7.31</v>
      </c>
      <c r="C48" s="11">
        <f t="shared" si="0"/>
        <v>7.3099999999999998E-2</v>
      </c>
      <c r="D48">
        <f t="shared" si="1"/>
        <v>1972</v>
      </c>
      <c r="E48" t="str">
        <f t="shared" si="2"/>
        <v>Feb-1972</v>
      </c>
      <c r="F48" s="12">
        <f t="shared" si="3"/>
        <v>6.36</v>
      </c>
    </row>
    <row r="49" spans="1:6" x14ac:dyDescent="0.25">
      <c r="A49" s="1">
        <v>26354</v>
      </c>
      <c r="B49">
        <v>7.31</v>
      </c>
      <c r="C49" s="11">
        <f t="shared" si="0"/>
        <v>7.3099999999999998E-2</v>
      </c>
      <c r="D49">
        <f t="shared" si="1"/>
        <v>1972</v>
      </c>
      <c r="E49" t="str">
        <f t="shared" si="2"/>
        <v>Feb-1972</v>
      </c>
      <c r="F49" s="12">
        <f t="shared" si="3"/>
        <v>6.36</v>
      </c>
    </row>
    <row r="50" spans="1:6" x14ac:dyDescent="0.25">
      <c r="A50" s="1">
        <v>26361</v>
      </c>
      <c r="B50">
        <v>7.32</v>
      </c>
      <c r="C50" s="11">
        <f t="shared" si="0"/>
        <v>7.3200000000000001E-2</v>
      </c>
      <c r="D50">
        <f t="shared" si="1"/>
        <v>1972</v>
      </c>
      <c r="E50" t="str">
        <f t="shared" si="2"/>
        <v>Mar-1972</v>
      </c>
      <c r="F50" s="12">
        <f t="shared" si="3"/>
        <v>6.36</v>
      </c>
    </row>
    <row r="51" spans="1:6" x14ac:dyDescent="0.25">
      <c r="A51" s="1">
        <v>26368</v>
      </c>
      <c r="B51">
        <v>7.32</v>
      </c>
      <c r="C51" s="11">
        <f t="shared" si="0"/>
        <v>7.3200000000000001E-2</v>
      </c>
      <c r="D51">
        <f t="shared" si="1"/>
        <v>1972</v>
      </c>
      <c r="E51" t="str">
        <f t="shared" si="2"/>
        <v>Mar-1972</v>
      </c>
      <c r="F51" s="12">
        <f t="shared" si="3"/>
        <v>6.36</v>
      </c>
    </row>
    <row r="52" spans="1:6" x14ac:dyDescent="0.25">
      <c r="A52" s="1">
        <v>26375</v>
      </c>
      <c r="B52">
        <v>7.31</v>
      </c>
      <c r="C52" s="11">
        <f t="shared" si="0"/>
        <v>7.3099999999999998E-2</v>
      </c>
      <c r="D52">
        <f t="shared" si="1"/>
        <v>1972</v>
      </c>
      <c r="E52" t="str">
        <f t="shared" si="2"/>
        <v>Mar-1972</v>
      </c>
      <c r="F52" s="12">
        <f t="shared" si="3"/>
        <v>6.36</v>
      </c>
    </row>
    <row r="53" spans="1:6" x14ac:dyDescent="0.25">
      <c r="A53" s="1">
        <v>26382</v>
      </c>
      <c r="B53">
        <v>7.31</v>
      </c>
      <c r="C53" s="11">
        <f t="shared" si="0"/>
        <v>7.3099999999999998E-2</v>
      </c>
      <c r="D53">
        <f t="shared" si="1"/>
        <v>1972</v>
      </c>
      <c r="E53" t="str">
        <f t="shared" si="2"/>
        <v>Mar-1972</v>
      </c>
      <c r="F53" s="12">
        <f t="shared" si="3"/>
        <v>6.36</v>
      </c>
    </row>
    <row r="54" spans="1:6" x14ac:dyDescent="0.25">
      <c r="A54" s="1">
        <v>26389</v>
      </c>
      <c r="B54">
        <v>7.23</v>
      </c>
      <c r="C54" s="11">
        <f t="shared" si="0"/>
        <v>7.2300000000000003E-2</v>
      </c>
      <c r="D54">
        <f t="shared" si="1"/>
        <v>1972</v>
      </c>
      <c r="E54" t="str">
        <f t="shared" si="2"/>
        <v>Mar-1972</v>
      </c>
      <c r="F54" s="12">
        <f t="shared" si="3"/>
        <v>6.36</v>
      </c>
    </row>
    <row r="55" spans="1:6" x14ac:dyDescent="0.25">
      <c r="A55" s="1">
        <v>26396</v>
      </c>
      <c r="B55">
        <v>7.25</v>
      </c>
      <c r="C55" s="11">
        <f t="shared" si="0"/>
        <v>7.2499999999999995E-2</v>
      </c>
      <c r="D55">
        <f t="shared" si="1"/>
        <v>1972</v>
      </c>
      <c r="E55" t="str">
        <f t="shared" si="2"/>
        <v>Apr-1972</v>
      </c>
      <c r="F55" s="12">
        <f t="shared" si="3"/>
        <v>6.36</v>
      </c>
    </row>
    <row r="56" spans="1:6" x14ac:dyDescent="0.25">
      <c r="A56" s="1">
        <v>26403</v>
      </c>
      <c r="B56">
        <v>7.29</v>
      </c>
      <c r="C56" s="11">
        <f t="shared" si="0"/>
        <v>7.2900000000000006E-2</v>
      </c>
      <c r="D56">
        <f t="shared" si="1"/>
        <v>1972</v>
      </c>
      <c r="E56" t="str">
        <f t="shared" si="2"/>
        <v>Apr-1972</v>
      </c>
      <c r="F56" s="12">
        <f t="shared" si="3"/>
        <v>6.36</v>
      </c>
    </row>
    <row r="57" spans="1:6" x14ac:dyDescent="0.25">
      <c r="A57" s="1">
        <v>26410</v>
      </c>
      <c r="B57">
        <v>7.29</v>
      </c>
      <c r="C57" s="11">
        <f t="shared" si="0"/>
        <v>7.2900000000000006E-2</v>
      </c>
      <c r="D57">
        <f t="shared" si="1"/>
        <v>1972</v>
      </c>
      <c r="E57" t="str">
        <f t="shared" si="2"/>
        <v>Apr-1972</v>
      </c>
      <c r="F57" s="12">
        <f t="shared" si="3"/>
        <v>6.36</v>
      </c>
    </row>
    <row r="58" spans="1:6" x14ac:dyDescent="0.25">
      <c r="A58" s="1">
        <v>26417</v>
      </c>
      <c r="B58">
        <v>7.33</v>
      </c>
      <c r="C58" s="11">
        <f t="shared" si="0"/>
        <v>7.3300000000000004E-2</v>
      </c>
      <c r="D58">
        <f t="shared" si="1"/>
        <v>1972</v>
      </c>
      <c r="E58" t="str">
        <f t="shared" si="2"/>
        <v>Apr-1972</v>
      </c>
      <c r="F58" s="12">
        <f t="shared" si="3"/>
        <v>6.36</v>
      </c>
    </row>
    <row r="59" spans="1:6" x14ac:dyDescent="0.25">
      <c r="A59" s="1">
        <v>26424</v>
      </c>
      <c r="B59">
        <v>7.33</v>
      </c>
      <c r="C59" s="11">
        <f t="shared" si="0"/>
        <v>7.3300000000000004E-2</v>
      </c>
      <c r="D59">
        <f t="shared" si="1"/>
        <v>1972</v>
      </c>
      <c r="E59" t="str">
        <f t="shared" si="2"/>
        <v>May-1972</v>
      </c>
      <c r="F59" s="12">
        <f t="shared" si="3"/>
        <v>6.36</v>
      </c>
    </row>
    <row r="60" spans="1:6" x14ac:dyDescent="0.25">
      <c r="A60" s="1">
        <v>26431</v>
      </c>
      <c r="B60">
        <v>7.38</v>
      </c>
      <c r="C60" s="11">
        <f t="shared" si="0"/>
        <v>7.3800000000000004E-2</v>
      </c>
      <c r="D60">
        <f t="shared" si="1"/>
        <v>1972</v>
      </c>
      <c r="E60" t="str">
        <f t="shared" si="2"/>
        <v>May-1972</v>
      </c>
      <c r="F60" s="12">
        <f t="shared" si="3"/>
        <v>6.36</v>
      </c>
    </row>
    <row r="61" spans="1:6" x14ac:dyDescent="0.25">
      <c r="A61" s="1">
        <v>26438</v>
      </c>
      <c r="B61">
        <v>7.38</v>
      </c>
      <c r="C61" s="11">
        <f t="shared" si="0"/>
        <v>7.3800000000000004E-2</v>
      </c>
      <c r="D61">
        <f t="shared" si="1"/>
        <v>1972</v>
      </c>
      <c r="E61" t="str">
        <f t="shared" si="2"/>
        <v>May-1972</v>
      </c>
      <c r="F61" s="12">
        <f t="shared" si="3"/>
        <v>6.36</v>
      </c>
    </row>
    <row r="62" spans="1:6" x14ac:dyDescent="0.25">
      <c r="A62" s="1">
        <v>26445</v>
      </c>
      <c r="B62">
        <v>7.4</v>
      </c>
      <c r="C62" s="11">
        <f t="shared" si="0"/>
        <v>7.400000000000001E-2</v>
      </c>
      <c r="D62">
        <f t="shared" si="1"/>
        <v>1972</v>
      </c>
      <c r="E62" t="str">
        <f t="shared" si="2"/>
        <v>May-1972</v>
      </c>
      <c r="F62" s="12">
        <f t="shared" si="3"/>
        <v>6.36</v>
      </c>
    </row>
    <row r="63" spans="1:6" x14ac:dyDescent="0.25">
      <c r="A63" s="1">
        <v>26452</v>
      </c>
      <c r="B63">
        <v>7.36</v>
      </c>
      <c r="C63" s="11">
        <f t="shared" si="0"/>
        <v>7.3599999999999999E-2</v>
      </c>
      <c r="D63">
        <f t="shared" si="1"/>
        <v>1972</v>
      </c>
      <c r="E63" t="str">
        <f t="shared" si="2"/>
        <v>Jun-1972</v>
      </c>
      <c r="F63" s="12">
        <f t="shared" si="3"/>
        <v>6.36</v>
      </c>
    </row>
    <row r="64" spans="1:6" x14ac:dyDescent="0.25">
      <c r="A64" s="1">
        <v>26459</v>
      </c>
      <c r="B64">
        <v>7.38</v>
      </c>
      <c r="C64" s="11">
        <f t="shared" si="0"/>
        <v>7.3800000000000004E-2</v>
      </c>
      <c r="D64">
        <f t="shared" si="1"/>
        <v>1972</v>
      </c>
      <c r="E64" t="str">
        <f t="shared" si="2"/>
        <v>Jun-1972</v>
      </c>
      <c r="F64" s="12">
        <f t="shared" si="3"/>
        <v>6.36</v>
      </c>
    </row>
    <row r="65" spans="1:6" x14ac:dyDescent="0.25">
      <c r="A65" s="1">
        <v>26466</v>
      </c>
      <c r="B65">
        <v>7.38</v>
      </c>
      <c r="C65" s="11">
        <f t="shared" si="0"/>
        <v>7.3800000000000004E-2</v>
      </c>
      <c r="D65">
        <f t="shared" si="1"/>
        <v>1972</v>
      </c>
      <c r="E65" t="str">
        <f t="shared" si="2"/>
        <v>Jun-1972</v>
      </c>
      <c r="F65" s="12">
        <f t="shared" si="3"/>
        <v>6.36</v>
      </c>
    </row>
    <row r="66" spans="1:6" x14ac:dyDescent="0.25">
      <c r="A66" s="1">
        <v>26473</v>
      </c>
      <c r="B66">
        <v>7.36</v>
      </c>
      <c r="C66" s="11">
        <f t="shared" ref="C66:C129" si="4">B66/100</f>
        <v>7.3599999999999999E-2</v>
      </c>
      <c r="D66">
        <f t="shared" ref="D66:D129" si="5">YEAR(A66)</f>
        <v>1972</v>
      </c>
      <c r="E66" t="str">
        <f t="shared" ref="E66:E129" si="6">TEXT(A66,"MMM-YYYY")</f>
        <v>Jun-1972</v>
      </c>
      <c r="F66" s="12">
        <f t="shared" ref="F66:F129" si="7">$H$2</f>
        <v>6.36</v>
      </c>
    </row>
    <row r="67" spans="1:6" x14ac:dyDescent="0.25">
      <c r="A67" s="1">
        <v>26480</v>
      </c>
      <c r="B67">
        <v>7.38</v>
      </c>
      <c r="C67" s="11">
        <f t="shared" si="4"/>
        <v>7.3800000000000004E-2</v>
      </c>
      <c r="D67">
        <f t="shared" si="5"/>
        <v>1972</v>
      </c>
      <c r="E67" t="str">
        <f t="shared" si="6"/>
        <v>Jun-1972</v>
      </c>
      <c r="F67" s="12">
        <f t="shared" si="7"/>
        <v>6.36</v>
      </c>
    </row>
    <row r="68" spans="1:6" x14ac:dyDescent="0.25">
      <c r="A68" s="1">
        <v>26487</v>
      </c>
      <c r="B68">
        <v>7.38</v>
      </c>
      <c r="C68" s="11">
        <f t="shared" si="4"/>
        <v>7.3800000000000004E-2</v>
      </c>
      <c r="D68">
        <f t="shared" si="5"/>
        <v>1972</v>
      </c>
      <c r="E68" t="str">
        <f t="shared" si="6"/>
        <v>Jul-1972</v>
      </c>
      <c r="F68" s="12">
        <f t="shared" si="7"/>
        <v>6.36</v>
      </c>
    </row>
    <row r="69" spans="1:6" x14ac:dyDescent="0.25">
      <c r="A69" s="1">
        <v>26494</v>
      </c>
      <c r="B69">
        <v>7.4</v>
      </c>
      <c r="C69" s="11">
        <f t="shared" si="4"/>
        <v>7.400000000000001E-2</v>
      </c>
      <c r="D69">
        <f t="shared" si="5"/>
        <v>1972</v>
      </c>
      <c r="E69" t="str">
        <f t="shared" si="6"/>
        <v>Jul-1972</v>
      </c>
      <c r="F69" s="12">
        <f t="shared" si="7"/>
        <v>6.36</v>
      </c>
    </row>
    <row r="70" spans="1:6" x14ac:dyDescent="0.25">
      <c r="A70" s="1">
        <v>26501</v>
      </c>
      <c r="B70">
        <v>7.4</v>
      </c>
      <c r="C70" s="11">
        <f t="shared" si="4"/>
        <v>7.400000000000001E-2</v>
      </c>
      <c r="D70">
        <f t="shared" si="5"/>
        <v>1972</v>
      </c>
      <c r="E70" t="str">
        <f t="shared" si="6"/>
        <v>Jul-1972</v>
      </c>
      <c r="F70" s="12">
        <f t="shared" si="7"/>
        <v>6.36</v>
      </c>
    </row>
    <row r="71" spans="1:6" x14ac:dyDescent="0.25">
      <c r="A71" s="1">
        <v>26508</v>
      </c>
      <c r="B71">
        <v>7.4</v>
      </c>
      <c r="C71" s="11">
        <f t="shared" si="4"/>
        <v>7.400000000000001E-2</v>
      </c>
      <c r="D71">
        <f t="shared" si="5"/>
        <v>1972</v>
      </c>
      <c r="E71" t="str">
        <f t="shared" si="6"/>
        <v>Jul-1972</v>
      </c>
      <c r="F71" s="12">
        <f t="shared" si="7"/>
        <v>6.36</v>
      </c>
    </row>
    <row r="72" spans="1:6" x14ac:dyDescent="0.25">
      <c r="A72" s="1">
        <v>26515</v>
      </c>
      <c r="B72">
        <v>7.35</v>
      </c>
      <c r="C72" s="11">
        <f t="shared" si="4"/>
        <v>7.3499999999999996E-2</v>
      </c>
      <c r="D72">
        <f t="shared" si="5"/>
        <v>1972</v>
      </c>
      <c r="E72" t="str">
        <f t="shared" si="6"/>
        <v>Aug-1972</v>
      </c>
      <c r="F72" s="12">
        <f t="shared" si="7"/>
        <v>6.36</v>
      </c>
    </row>
    <row r="73" spans="1:6" x14ac:dyDescent="0.25">
      <c r="A73" s="1">
        <v>26522</v>
      </c>
      <c r="B73">
        <v>7.41</v>
      </c>
      <c r="C73" s="11">
        <f t="shared" si="4"/>
        <v>7.4099999999999999E-2</v>
      </c>
      <c r="D73">
        <f t="shared" si="5"/>
        <v>1972</v>
      </c>
      <c r="E73" t="str">
        <f t="shared" si="6"/>
        <v>Aug-1972</v>
      </c>
      <c r="F73" s="12">
        <f t="shared" si="7"/>
        <v>6.36</v>
      </c>
    </row>
    <row r="74" spans="1:6" x14ac:dyDescent="0.25">
      <c r="A74" s="1">
        <v>26529</v>
      </c>
      <c r="B74">
        <v>7.42</v>
      </c>
      <c r="C74" s="11">
        <f t="shared" si="4"/>
        <v>7.4200000000000002E-2</v>
      </c>
      <c r="D74">
        <f t="shared" si="5"/>
        <v>1972</v>
      </c>
      <c r="E74" t="str">
        <f t="shared" si="6"/>
        <v>Aug-1972</v>
      </c>
      <c r="F74" s="12">
        <f t="shared" si="7"/>
        <v>6.36</v>
      </c>
    </row>
    <row r="75" spans="1:6" x14ac:dyDescent="0.25">
      <c r="A75" s="1">
        <v>26536</v>
      </c>
      <c r="B75">
        <v>7.42</v>
      </c>
      <c r="C75" s="11">
        <f t="shared" si="4"/>
        <v>7.4200000000000002E-2</v>
      </c>
      <c r="D75">
        <f t="shared" si="5"/>
        <v>1972</v>
      </c>
      <c r="E75" t="str">
        <f t="shared" si="6"/>
        <v>Aug-1972</v>
      </c>
      <c r="F75" s="12">
        <f t="shared" si="7"/>
        <v>6.36</v>
      </c>
    </row>
    <row r="76" spans="1:6" x14ac:dyDescent="0.25">
      <c r="A76" s="1">
        <v>26543</v>
      </c>
      <c r="B76">
        <v>7.42</v>
      </c>
      <c r="C76" s="11">
        <f t="shared" si="4"/>
        <v>7.4200000000000002E-2</v>
      </c>
      <c r="D76">
        <f t="shared" si="5"/>
        <v>1972</v>
      </c>
      <c r="E76" t="str">
        <f t="shared" si="6"/>
        <v>Sep-1972</v>
      </c>
      <c r="F76" s="12">
        <f t="shared" si="7"/>
        <v>6.36</v>
      </c>
    </row>
    <row r="77" spans="1:6" x14ac:dyDescent="0.25">
      <c r="A77" s="1">
        <v>26550</v>
      </c>
      <c r="B77">
        <v>7.42</v>
      </c>
      <c r="C77" s="11">
        <f t="shared" si="4"/>
        <v>7.4200000000000002E-2</v>
      </c>
      <c r="D77">
        <f t="shared" si="5"/>
        <v>1972</v>
      </c>
      <c r="E77" t="str">
        <f t="shared" si="6"/>
        <v>Sep-1972</v>
      </c>
      <c r="F77" s="12">
        <f t="shared" si="7"/>
        <v>6.36</v>
      </c>
    </row>
    <row r="78" spans="1:6" x14ac:dyDescent="0.25">
      <c r="A78" s="1">
        <v>26557</v>
      </c>
      <c r="B78">
        <v>7.42</v>
      </c>
      <c r="C78" s="11">
        <f t="shared" si="4"/>
        <v>7.4200000000000002E-2</v>
      </c>
      <c r="D78">
        <f t="shared" si="5"/>
        <v>1972</v>
      </c>
      <c r="E78" t="str">
        <f t="shared" si="6"/>
        <v>Sep-1972</v>
      </c>
      <c r="F78" s="12">
        <f t="shared" si="7"/>
        <v>6.36</v>
      </c>
    </row>
    <row r="79" spans="1:6" x14ac:dyDescent="0.25">
      <c r="A79" s="1">
        <v>26564</v>
      </c>
      <c r="B79">
        <v>7.41</v>
      </c>
      <c r="C79" s="11">
        <f t="shared" si="4"/>
        <v>7.4099999999999999E-2</v>
      </c>
      <c r="D79">
        <f t="shared" si="5"/>
        <v>1972</v>
      </c>
      <c r="E79" t="str">
        <f t="shared" si="6"/>
        <v>Sep-1972</v>
      </c>
      <c r="F79" s="12">
        <f t="shared" si="7"/>
        <v>6.36</v>
      </c>
    </row>
    <row r="80" spans="1:6" x14ac:dyDescent="0.25">
      <c r="A80" s="1">
        <v>26571</v>
      </c>
      <c r="B80">
        <v>7.43</v>
      </c>
      <c r="C80" s="11">
        <f t="shared" si="4"/>
        <v>7.4299999999999991E-2</v>
      </c>
      <c r="D80">
        <f t="shared" si="5"/>
        <v>1972</v>
      </c>
      <c r="E80" t="str">
        <f t="shared" si="6"/>
        <v>Sep-1972</v>
      </c>
      <c r="F80" s="12">
        <f t="shared" si="7"/>
        <v>6.36</v>
      </c>
    </row>
    <row r="81" spans="1:6" x14ac:dyDescent="0.25">
      <c r="A81" s="1">
        <v>26578</v>
      </c>
      <c r="B81">
        <v>7.41</v>
      </c>
      <c r="C81" s="11">
        <f t="shared" si="4"/>
        <v>7.4099999999999999E-2</v>
      </c>
      <c r="D81">
        <f t="shared" si="5"/>
        <v>1972</v>
      </c>
      <c r="E81" t="str">
        <f t="shared" si="6"/>
        <v>Oct-1972</v>
      </c>
      <c r="F81" s="12">
        <f t="shared" si="7"/>
        <v>6.36</v>
      </c>
    </row>
    <row r="82" spans="1:6" x14ac:dyDescent="0.25">
      <c r="A82" s="1">
        <v>26585</v>
      </c>
      <c r="B82">
        <v>7.41</v>
      </c>
      <c r="C82" s="11">
        <f t="shared" si="4"/>
        <v>7.4099999999999999E-2</v>
      </c>
      <c r="D82">
        <f t="shared" si="5"/>
        <v>1972</v>
      </c>
      <c r="E82" t="str">
        <f t="shared" si="6"/>
        <v>Oct-1972</v>
      </c>
      <c r="F82" s="12">
        <f t="shared" si="7"/>
        <v>6.36</v>
      </c>
    </row>
    <row r="83" spans="1:6" x14ac:dyDescent="0.25">
      <c r="A83" s="1">
        <v>26592</v>
      </c>
      <c r="B83">
        <v>7.44</v>
      </c>
      <c r="C83" s="11">
        <f t="shared" si="4"/>
        <v>7.4400000000000008E-2</v>
      </c>
      <c r="D83">
        <f t="shared" si="5"/>
        <v>1972</v>
      </c>
      <c r="E83" t="str">
        <f t="shared" si="6"/>
        <v>Oct-1972</v>
      </c>
      <c r="F83" s="12">
        <f t="shared" si="7"/>
        <v>6.36</v>
      </c>
    </row>
    <row r="84" spans="1:6" x14ac:dyDescent="0.25">
      <c r="A84" s="1">
        <v>26599</v>
      </c>
      <c r="B84">
        <v>7.42</v>
      </c>
      <c r="C84" s="11">
        <f t="shared" si="4"/>
        <v>7.4200000000000002E-2</v>
      </c>
      <c r="D84">
        <f t="shared" si="5"/>
        <v>1972</v>
      </c>
      <c r="E84" t="str">
        <f t="shared" si="6"/>
        <v>Oct-1972</v>
      </c>
      <c r="F84" s="12">
        <f t="shared" si="7"/>
        <v>6.36</v>
      </c>
    </row>
    <row r="85" spans="1:6" x14ac:dyDescent="0.25">
      <c r="A85" s="1">
        <v>26606</v>
      </c>
      <c r="B85">
        <v>7.43</v>
      </c>
      <c r="C85" s="11">
        <f t="shared" si="4"/>
        <v>7.4299999999999991E-2</v>
      </c>
      <c r="D85">
        <f t="shared" si="5"/>
        <v>1972</v>
      </c>
      <c r="E85" t="str">
        <f t="shared" si="6"/>
        <v>Nov-1972</v>
      </c>
      <c r="F85" s="12">
        <f t="shared" si="7"/>
        <v>6.36</v>
      </c>
    </row>
    <row r="86" spans="1:6" x14ac:dyDescent="0.25">
      <c r="A86" s="1">
        <v>26613</v>
      </c>
      <c r="B86">
        <v>7.42</v>
      </c>
      <c r="C86" s="11">
        <f t="shared" si="4"/>
        <v>7.4200000000000002E-2</v>
      </c>
      <c r="D86">
        <f t="shared" si="5"/>
        <v>1972</v>
      </c>
      <c r="E86" t="str">
        <f t="shared" si="6"/>
        <v>Nov-1972</v>
      </c>
      <c r="F86" s="12">
        <f t="shared" si="7"/>
        <v>6.36</v>
      </c>
    </row>
    <row r="87" spans="1:6" x14ac:dyDescent="0.25">
      <c r="A87" s="1">
        <v>26620</v>
      </c>
      <c r="B87">
        <v>7.42</v>
      </c>
      <c r="C87" s="11">
        <f t="shared" si="4"/>
        <v>7.4200000000000002E-2</v>
      </c>
      <c r="D87">
        <f t="shared" si="5"/>
        <v>1972</v>
      </c>
      <c r="E87" t="str">
        <f t="shared" si="6"/>
        <v>Nov-1972</v>
      </c>
      <c r="F87" s="12">
        <f t="shared" si="7"/>
        <v>6.36</v>
      </c>
    </row>
    <row r="88" spans="1:6" x14ac:dyDescent="0.25">
      <c r="A88" s="1">
        <v>26627</v>
      </c>
      <c r="B88">
        <v>7.44</v>
      </c>
      <c r="C88" s="11">
        <f t="shared" si="4"/>
        <v>7.4400000000000008E-2</v>
      </c>
      <c r="D88">
        <f t="shared" si="5"/>
        <v>1972</v>
      </c>
      <c r="E88" t="str">
        <f t="shared" si="6"/>
        <v>Nov-1972</v>
      </c>
      <c r="F88" s="12">
        <f t="shared" si="7"/>
        <v>6.36</v>
      </c>
    </row>
    <row r="89" spans="1:6" x14ac:dyDescent="0.25">
      <c r="A89" s="1">
        <v>26634</v>
      </c>
      <c r="B89">
        <v>7.45</v>
      </c>
      <c r="C89" s="11">
        <f t="shared" si="4"/>
        <v>7.4499999999999997E-2</v>
      </c>
      <c r="D89">
        <f t="shared" si="5"/>
        <v>1972</v>
      </c>
      <c r="E89" t="str">
        <f t="shared" si="6"/>
        <v>Dec-1972</v>
      </c>
      <c r="F89" s="12">
        <f t="shared" si="7"/>
        <v>6.36</v>
      </c>
    </row>
    <row r="90" spans="1:6" x14ac:dyDescent="0.25">
      <c r="A90" s="1">
        <v>26641</v>
      </c>
      <c r="B90">
        <v>7.43</v>
      </c>
      <c r="C90" s="11">
        <f t="shared" si="4"/>
        <v>7.4299999999999991E-2</v>
      </c>
      <c r="D90">
        <f t="shared" si="5"/>
        <v>1972</v>
      </c>
      <c r="E90" t="str">
        <f t="shared" si="6"/>
        <v>Dec-1972</v>
      </c>
      <c r="F90" s="12">
        <f t="shared" si="7"/>
        <v>6.36</v>
      </c>
    </row>
    <row r="91" spans="1:6" x14ac:dyDescent="0.25">
      <c r="A91" s="1">
        <v>26648</v>
      </c>
      <c r="B91">
        <v>7.43</v>
      </c>
      <c r="C91" s="11">
        <f t="shared" si="4"/>
        <v>7.4299999999999991E-2</v>
      </c>
      <c r="D91">
        <f t="shared" si="5"/>
        <v>1972</v>
      </c>
      <c r="E91" t="str">
        <f t="shared" si="6"/>
        <v>Dec-1972</v>
      </c>
      <c r="F91" s="12">
        <f t="shared" si="7"/>
        <v>6.36</v>
      </c>
    </row>
    <row r="92" spans="1:6" x14ac:dyDescent="0.25">
      <c r="A92" s="1">
        <v>26655</v>
      </c>
      <c r="B92">
        <v>7.45</v>
      </c>
      <c r="C92" s="11">
        <f t="shared" si="4"/>
        <v>7.4499999999999997E-2</v>
      </c>
      <c r="D92">
        <f t="shared" si="5"/>
        <v>1972</v>
      </c>
      <c r="E92" t="str">
        <f t="shared" si="6"/>
        <v>Dec-1972</v>
      </c>
      <c r="F92" s="12">
        <f t="shared" si="7"/>
        <v>6.36</v>
      </c>
    </row>
    <row r="93" spans="1:6" x14ac:dyDescent="0.25">
      <c r="A93" s="1">
        <v>26662</v>
      </c>
      <c r="B93">
        <v>7.45</v>
      </c>
      <c r="C93" s="11">
        <f t="shared" si="4"/>
        <v>7.4499999999999997E-2</v>
      </c>
      <c r="D93">
        <f t="shared" si="5"/>
        <v>1972</v>
      </c>
      <c r="E93" t="str">
        <f t="shared" si="6"/>
        <v>Dec-1972</v>
      </c>
      <c r="F93" s="12">
        <f t="shared" si="7"/>
        <v>6.36</v>
      </c>
    </row>
    <row r="94" spans="1:6" x14ac:dyDescent="0.25">
      <c r="A94" s="1">
        <v>26669</v>
      </c>
      <c r="B94">
        <v>7.44</v>
      </c>
      <c r="C94" s="11">
        <f t="shared" si="4"/>
        <v>7.4400000000000008E-2</v>
      </c>
      <c r="D94">
        <f t="shared" si="5"/>
        <v>1973</v>
      </c>
      <c r="E94" t="str">
        <f t="shared" si="6"/>
        <v>Jan-1973</v>
      </c>
      <c r="F94" s="12">
        <f t="shared" si="7"/>
        <v>6.36</v>
      </c>
    </row>
    <row r="95" spans="1:6" x14ac:dyDescent="0.25">
      <c r="A95" s="1">
        <v>26676</v>
      </c>
      <c r="B95">
        <v>7.44</v>
      </c>
      <c r="C95" s="11">
        <f t="shared" si="4"/>
        <v>7.4400000000000008E-2</v>
      </c>
      <c r="D95">
        <f t="shared" si="5"/>
        <v>1973</v>
      </c>
      <c r="E95" t="str">
        <f t="shared" si="6"/>
        <v>Jan-1973</v>
      </c>
      <c r="F95" s="12">
        <f t="shared" si="7"/>
        <v>6.36</v>
      </c>
    </row>
    <row r="96" spans="1:6" x14ac:dyDescent="0.25">
      <c r="A96" s="1">
        <v>26683</v>
      </c>
      <c r="B96">
        <v>7.44</v>
      </c>
      <c r="C96" s="11">
        <f t="shared" si="4"/>
        <v>7.4400000000000008E-2</v>
      </c>
      <c r="D96">
        <f t="shared" si="5"/>
        <v>1973</v>
      </c>
      <c r="E96" t="str">
        <f t="shared" si="6"/>
        <v>Jan-1973</v>
      </c>
      <c r="F96" s="12">
        <f t="shared" si="7"/>
        <v>6.36</v>
      </c>
    </row>
    <row r="97" spans="1:6" x14ac:dyDescent="0.25">
      <c r="A97" s="1">
        <v>26690</v>
      </c>
      <c r="B97">
        <v>7.43</v>
      </c>
      <c r="C97" s="11">
        <f t="shared" si="4"/>
        <v>7.4299999999999991E-2</v>
      </c>
      <c r="D97">
        <f t="shared" si="5"/>
        <v>1973</v>
      </c>
      <c r="E97" t="str">
        <f t="shared" si="6"/>
        <v>Jan-1973</v>
      </c>
      <c r="F97" s="12">
        <f t="shared" si="7"/>
        <v>6.36</v>
      </c>
    </row>
    <row r="98" spans="1:6" x14ac:dyDescent="0.25">
      <c r="A98" s="1">
        <v>26697</v>
      </c>
      <c r="B98">
        <v>7.43</v>
      </c>
      <c r="C98" s="11">
        <f t="shared" si="4"/>
        <v>7.4299999999999991E-2</v>
      </c>
      <c r="D98">
        <f t="shared" si="5"/>
        <v>1973</v>
      </c>
      <c r="E98" t="str">
        <f t="shared" si="6"/>
        <v>Feb-1973</v>
      </c>
      <c r="F98" s="12">
        <f t="shared" si="7"/>
        <v>6.36</v>
      </c>
    </row>
    <row r="99" spans="1:6" x14ac:dyDescent="0.25">
      <c r="A99" s="1">
        <v>26704</v>
      </c>
      <c r="B99">
        <v>7.43</v>
      </c>
      <c r="C99" s="11">
        <f t="shared" si="4"/>
        <v>7.4299999999999991E-2</v>
      </c>
      <c r="D99">
        <f t="shared" si="5"/>
        <v>1973</v>
      </c>
      <c r="E99" t="str">
        <f t="shared" si="6"/>
        <v>Feb-1973</v>
      </c>
      <c r="F99" s="12">
        <f t="shared" si="7"/>
        <v>6.36</v>
      </c>
    </row>
    <row r="100" spans="1:6" x14ac:dyDescent="0.25">
      <c r="A100" s="1">
        <v>26711</v>
      </c>
      <c r="B100">
        <v>7.45</v>
      </c>
      <c r="C100" s="11">
        <f t="shared" si="4"/>
        <v>7.4499999999999997E-2</v>
      </c>
      <c r="D100">
        <f t="shared" si="5"/>
        <v>1973</v>
      </c>
      <c r="E100" t="str">
        <f t="shared" si="6"/>
        <v>Feb-1973</v>
      </c>
      <c r="F100" s="12">
        <f t="shared" si="7"/>
        <v>6.36</v>
      </c>
    </row>
    <row r="101" spans="1:6" x14ac:dyDescent="0.25">
      <c r="A101" s="1">
        <v>26718</v>
      </c>
      <c r="B101">
        <v>7.45</v>
      </c>
      <c r="C101" s="11">
        <f t="shared" si="4"/>
        <v>7.4499999999999997E-2</v>
      </c>
      <c r="D101">
        <f t="shared" si="5"/>
        <v>1973</v>
      </c>
      <c r="E101" t="str">
        <f t="shared" si="6"/>
        <v>Feb-1973</v>
      </c>
      <c r="F101" s="12">
        <f t="shared" si="7"/>
        <v>6.36</v>
      </c>
    </row>
    <row r="102" spans="1:6" x14ac:dyDescent="0.25">
      <c r="A102" s="1">
        <v>26725</v>
      </c>
      <c r="B102">
        <v>7.45</v>
      </c>
      <c r="C102" s="11">
        <f t="shared" si="4"/>
        <v>7.4499999999999997E-2</v>
      </c>
      <c r="D102">
        <f t="shared" si="5"/>
        <v>1973</v>
      </c>
      <c r="E102" t="str">
        <f t="shared" si="6"/>
        <v>Mar-1973</v>
      </c>
      <c r="F102" s="12">
        <f t="shared" si="7"/>
        <v>6.36</v>
      </c>
    </row>
    <row r="103" spans="1:6" x14ac:dyDescent="0.25">
      <c r="A103" s="1">
        <v>26732</v>
      </c>
      <c r="B103">
        <v>7.45</v>
      </c>
      <c r="C103" s="11">
        <f t="shared" si="4"/>
        <v>7.4499999999999997E-2</v>
      </c>
      <c r="D103">
        <f t="shared" si="5"/>
        <v>1973</v>
      </c>
      <c r="E103" t="str">
        <f t="shared" si="6"/>
        <v>Mar-1973</v>
      </c>
      <c r="F103" s="12">
        <f t="shared" si="7"/>
        <v>6.36</v>
      </c>
    </row>
    <row r="104" spans="1:6" x14ac:dyDescent="0.25">
      <c r="A104" s="1">
        <v>26739</v>
      </c>
      <c r="B104">
        <v>7.45</v>
      </c>
      <c r="C104" s="11">
        <f t="shared" si="4"/>
        <v>7.4499999999999997E-2</v>
      </c>
      <c r="D104">
        <f t="shared" si="5"/>
        <v>1973</v>
      </c>
      <c r="E104" t="str">
        <f t="shared" si="6"/>
        <v>Mar-1973</v>
      </c>
      <c r="F104" s="12">
        <f t="shared" si="7"/>
        <v>6.36</v>
      </c>
    </row>
    <row r="105" spans="1:6" x14ac:dyDescent="0.25">
      <c r="A105" s="1">
        <v>26746</v>
      </c>
      <c r="B105">
        <v>7.45</v>
      </c>
      <c r="C105" s="11">
        <f t="shared" si="4"/>
        <v>7.4499999999999997E-2</v>
      </c>
      <c r="D105">
        <f t="shared" si="5"/>
        <v>1973</v>
      </c>
      <c r="E105" t="str">
        <f t="shared" si="6"/>
        <v>Mar-1973</v>
      </c>
      <c r="F105" s="12">
        <f t="shared" si="7"/>
        <v>6.36</v>
      </c>
    </row>
    <row r="106" spans="1:6" x14ac:dyDescent="0.25">
      <c r="A106" s="1">
        <v>26753</v>
      </c>
      <c r="B106">
        <v>7.49</v>
      </c>
      <c r="C106" s="11">
        <f t="shared" si="4"/>
        <v>7.4900000000000008E-2</v>
      </c>
      <c r="D106">
        <f t="shared" si="5"/>
        <v>1973</v>
      </c>
      <c r="E106" t="str">
        <f t="shared" si="6"/>
        <v>Mar-1973</v>
      </c>
      <c r="F106" s="12">
        <f t="shared" si="7"/>
        <v>6.36</v>
      </c>
    </row>
    <row r="107" spans="1:6" x14ac:dyDescent="0.25">
      <c r="A107" s="1">
        <v>26760</v>
      </c>
      <c r="B107">
        <v>7.51</v>
      </c>
      <c r="C107" s="11">
        <f t="shared" si="4"/>
        <v>7.51E-2</v>
      </c>
      <c r="D107">
        <f t="shared" si="5"/>
        <v>1973</v>
      </c>
      <c r="E107" t="str">
        <f t="shared" si="6"/>
        <v>Apr-1973</v>
      </c>
      <c r="F107" s="12">
        <f t="shared" si="7"/>
        <v>6.36</v>
      </c>
    </row>
    <row r="108" spans="1:6" x14ac:dyDescent="0.25">
      <c r="A108" s="1">
        <v>26767</v>
      </c>
      <c r="B108">
        <v>7.54</v>
      </c>
      <c r="C108" s="11">
        <f t="shared" si="4"/>
        <v>7.5399999999999995E-2</v>
      </c>
      <c r="D108">
        <f t="shared" si="5"/>
        <v>1973</v>
      </c>
      <c r="E108" t="str">
        <f t="shared" si="6"/>
        <v>Apr-1973</v>
      </c>
      <c r="F108" s="12">
        <f t="shared" si="7"/>
        <v>6.36</v>
      </c>
    </row>
    <row r="109" spans="1:6" x14ac:dyDescent="0.25">
      <c r="A109" s="1">
        <v>26774</v>
      </c>
      <c r="B109">
        <v>7.56</v>
      </c>
      <c r="C109" s="11">
        <f t="shared" si="4"/>
        <v>7.5600000000000001E-2</v>
      </c>
      <c r="D109">
        <f t="shared" si="5"/>
        <v>1973</v>
      </c>
      <c r="E109" t="str">
        <f t="shared" si="6"/>
        <v>Apr-1973</v>
      </c>
      <c r="F109" s="12">
        <f t="shared" si="7"/>
        <v>6.36</v>
      </c>
    </row>
    <row r="110" spans="1:6" x14ac:dyDescent="0.25">
      <c r="A110" s="1">
        <v>26781</v>
      </c>
      <c r="B110">
        <v>7.56</v>
      </c>
      <c r="C110" s="11">
        <f t="shared" si="4"/>
        <v>7.5600000000000001E-2</v>
      </c>
      <c r="D110">
        <f t="shared" si="5"/>
        <v>1973</v>
      </c>
      <c r="E110" t="str">
        <f t="shared" si="6"/>
        <v>Apr-1973</v>
      </c>
      <c r="F110" s="12">
        <f t="shared" si="7"/>
        <v>6.36</v>
      </c>
    </row>
    <row r="111" spans="1:6" x14ac:dyDescent="0.25">
      <c r="A111" s="1">
        <v>26788</v>
      </c>
      <c r="B111">
        <v>7.58</v>
      </c>
      <c r="C111" s="11">
        <f t="shared" si="4"/>
        <v>7.5800000000000006E-2</v>
      </c>
      <c r="D111">
        <f t="shared" si="5"/>
        <v>1973</v>
      </c>
      <c r="E111" t="str">
        <f t="shared" si="6"/>
        <v>May-1973</v>
      </c>
      <c r="F111" s="12">
        <f t="shared" si="7"/>
        <v>6.36</v>
      </c>
    </row>
    <row r="112" spans="1:6" x14ac:dyDescent="0.25">
      <c r="A112" s="1">
        <v>26795</v>
      </c>
      <c r="B112">
        <v>7.64</v>
      </c>
      <c r="C112" s="11">
        <f t="shared" si="4"/>
        <v>7.6399999999999996E-2</v>
      </c>
      <c r="D112">
        <f t="shared" si="5"/>
        <v>1973</v>
      </c>
      <c r="E112" t="str">
        <f t="shared" si="6"/>
        <v>May-1973</v>
      </c>
      <c r="F112" s="12">
        <f t="shared" si="7"/>
        <v>6.36</v>
      </c>
    </row>
    <row r="113" spans="1:6" x14ac:dyDescent="0.25">
      <c r="A113" s="1">
        <v>26802</v>
      </c>
      <c r="B113">
        <v>7.69</v>
      </c>
      <c r="C113" s="11">
        <f t="shared" si="4"/>
        <v>7.690000000000001E-2</v>
      </c>
      <c r="D113">
        <f t="shared" si="5"/>
        <v>1973</v>
      </c>
      <c r="E113" t="str">
        <f t="shared" si="6"/>
        <v>May-1973</v>
      </c>
      <c r="F113" s="12">
        <f t="shared" si="7"/>
        <v>6.36</v>
      </c>
    </row>
    <row r="114" spans="1:6" x14ac:dyDescent="0.25">
      <c r="A114" s="1">
        <v>26808</v>
      </c>
      <c r="B114">
        <v>7.7</v>
      </c>
      <c r="C114" s="11">
        <f t="shared" si="4"/>
        <v>7.6999999999999999E-2</v>
      </c>
      <c r="D114">
        <f t="shared" si="5"/>
        <v>1973</v>
      </c>
      <c r="E114" t="str">
        <f t="shared" si="6"/>
        <v>May-1973</v>
      </c>
      <c r="F114" s="12">
        <f t="shared" si="7"/>
        <v>6.36</v>
      </c>
    </row>
    <row r="115" spans="1:6" x14ac:dyDescent="0.25">
      <c r="A115" s="1">
        <v>26816</v>
      </c>
      <c r="B115">
        <v>7.7</v>
      </c>
      <c r="C115" s="11">
        <f t="shared" si="4"/>
        <v>7.6999999999999999E-2</v>
      </c>
      <c r="D115">
        <f t="shared" si="5"/>
        <v>1973</v>
      </c>
      <c r="E115" t="str">
        <f t="shared" si="6"/>
        <v>Jun-1973</v>
      </c>
      <c r="F115" s="12">
        <f t="shared" si="7"/>
        <v>6.36</v>
      </c>
    </row>
    <row r="116" spans="1:6" x14ac:dyDescent="0.25">
      <c r="A116" s="1">
        <v>26823</v>
      </c>
      <c r="B116">
        <v>7.73</v>
      </c>
      <c r="C116" s="11">
        <f t="shared" si="4"/>
        <v>7.7300000000000008E-2</v>
      </c>
      <c r="D116">
        <f t="shared" si="5"/>
        <v>1973</v>
      </c>
      <c r="E116" t="str">
        <f t="shared" si="6"/>
        <v>Jun-1973</v>
      </c>
      <c r="F116" s="12">
        <f t="shared" si="7"/>
        <v>6.36</v>
      </c>
    </row>
    <row r="117" spans="1:6" x14ac:dyDescent="0.25">
      <c r="A117" s="1">
        <v>26830</v>
      </c>
      <c r="B117">
        <v>7.73</v>
      </c>
      <c r="C117" s="11">
        <f t="shared" si="4"/>
        <v>7.7300000000000008E-2</v>
      </c>
      <c r="D117">
        <f t="shared" si="5"/>
        <v>1973</v>
      </c>
      <c r="E117" t="str">
        <f t="shared" si="6"/>
        <v>Jun-1973</v>
      </c>
      <c r="F117" s="12">
        <f t="shared" si="7"/>
        <v>6.36</v>
      </c>
    </row>
    <row r="118" spans="1:6" x14ac:dyDescent="0.25">
      <c r="A118" s="1">
        <v>26837</v>
      </c>
      <c r="B118">
        <v>7.75</v>
      </c>
      <c r="C118" s="11">
        <f t="shared" si="4"/>
        <v>7.7499999999999999E-2</v>
      </c>
      <c r="D118">
        <f t="shared" si="5"/>
        <v>1973</v>
      </c>
      <c r="E118" t="str">
        <f t="shared" si="6"/>
        <v>Jun-1973</v>
      </c>
      <c r="F118" s="12">
        <f t="shared" si="7"/>
        <v>6.36</v>
      </c>
    </row>
    <row r="119" spans="1:6" x14ac:dyDescent="0.25">
      <c r="A119" s="1">
        <v>26844</v>
      </c>
      <c r="B119">
        <v>7.76</v>
      </c>
      <c r="C119" s="11">
        <f t="shared" si="4"/>
        <v>7.7600000000000002E-2</v>
      </c>
      <c r="D119">
        <f t="shared" si="5"/>
        <v>1973</v>
      </c>
      <c r="E119" t="str">
        <f t="shared" si="6"/>
        <v>Jun-1973</v>
      </c>
      <c r="F119" s="12">
        <f t="shared" si="7"/>
        <v>6.36</v>
      </c>
    </row>
    <row r="120" spans="1:6" x14ac:dyDescent="0.25">
      <c r="A120" s="1">
        <v>26851</v>
      </c>
      <c r="B120">
        <v>7.89</v>
      </c>
      <c r="C120" s="11">
        <f t="shared" si="4"/>
        <v>7.8899999999999998E-2</v>
      </c>
      <c r="D120">
        <f t="shared" si="5"/>
        <v>1973</v>
      </c>
      <c r="E120" t="str">
        <f t="shared" si="6"/>
        <v>Jul-1973</v>
      </c>
      <c r="F120" s="12">
        <f t="shared" si="7"/>
        <v>6.36</v>
      </c>
    </row>
    <row r="121" spans="1:6" x14ac:dyDescent="0.25">
      <c r="A121" s="1">
        <v>26858</v>
      </c>
      <c r="B121">
        <v>8.01</v>
      </c>
      <c r="C121" s="11">
        <f t="shared" si="4"/>
        <v>8.0100000000000005E-2</v>
      </c>
      <c r="D121">
        <f t="shared" si="5"/>
        <v>1973</v>
      </c>
      <c r="E121" t="str">
        <f t="shared" si="6"/>
        <v>Jul-1973</v>
      </c>
      <c r="F121" s="12">
        <f t="shared" si="7"/>
        <v>6.36</v>
      </c>
    </row>
    <row r="122" spans="1:6" x14ac:dyDescent="0.25">
      <c r="A122" s="1">
        <v>26865</v>
      </c>
      <c r="B122">
        <v>8.1199999999999992</v>
      </c>
      <c r="C122" s="11">
        <f t="shared" si="4"/>
        <v>8.1199999999999994E-2</v>
      </c>
      <c r="D122">
        <f t="shared" si="5"/>
        <v>1973</v>
      </c>
      <c r="E122" t="str">
        <f t="shared" si="6"/>
        <v>Jul-1973</v>
      </c>
      <c r="F122" s="12">
        <f t="shared" si="7"/>
        <v>6.36</v>
      </c>
    </row>
    <row r="123" spans="1:6" x14ac:dyDescent="0.25">
      <c r="A123" s="1">
        <v>26872</v>
      </c>
      <c r="B123">
        <v>8.18</v>
      </c>
      <c r="C123" s="11">
        <f t="shared" si="4"/>
        <v>8.1799999999999998E-2</v>
      </c>
      <c r="D123">
        <f t="shared" si="5"/>
        <v>1973</v>
      </c>
      <c r="E123" t="str">
        <f t="shared" si="6"/>
        <v>Jul-1973</v>
      </c>
      <c r="F123" s="12">
        <f t="shared" si="7"/>
        <v>6.36</v>
      </c>
    </row>
    <row r="124" spans="1:6" x14ac:dyDescent="0.25">
      <c r="A124" s="1">
        <v>26879</v>
      </c>
      <c r="B124">
        <v>8.26</v>
      </c>
      <c r="C124" s="11">
        <f t="shared" si="4"/>
        <v>8.2599999999999993E-2</v>
      </c>
      <c r="D124">
        <f t="shared" si="5"/>
        <v>1973</v>
      </c>
      <c r="E124" t="str">
        <f t="shared" si="6"/>
        <v>Aug-1973</v>
      </c>
      <c r="F124" s="12">
        <f t="shared" si="7"/>
        <v>6.36</v>
      </c>
    </row>
    <row r="125" spans="1:6" x14ac:dyDescent="0.25">
      <c r="A125" s="1">
        <v>26886</v>
      </c>
      <c r="B125">
        <v>8.4</v>
      </c>
      <c r="C125" s="11">
        <f t="shared" si="4"/>
        <v>8.4000000000000005E-2</v>
      </c>
      <c r="D125">
        <f t="shared" si="5"/>
        <v>1973</v>
      </c>
      <c r="E125" t="str">
        <f t="shared" si="6"/>
        <v>Aug-1973</v>
      </c>
      <c r="F125" s="12">
        <f t="shared" si="7"/>
        <v>6.36</v>
      </c>
    </row>
    <row r="126" spans="1:6" x14ac:dyDescent="0.25">
      <c r="A126" s="1">
        <v>26893</v>
      </c>
      <c r="B126">
        <v>8.5500000000000007</v>
      </c>
      <c r="C126" s="11">
        <f t="shared" si="4"/>
        <v>8.5500000000000007E-2</v>
      </c>
      <c r="D126">
        <f t="shared" si="5"/>
        <v>1973</v>
      </c>
      <c r="E126" t="str">
        <f t="shared" si="6"/>
        <v>Aug-1973</v>
      </c>
      <c r="F126" s="12">
        <f t="shared" si="7"/>
        <v>6.36</v>
      </c>
    </row>
    <row r="127" spans="1:6" x14ac:dyDescent="0.25">
      <c r="A127" s="1">
        <v>26900</v>
      </c>
      <c r="B127">
        <v>8.61</v>
      </c>
      <c r="C127" s="11">
        <f t="shared" si="4"/>
        <v>8.6099999999999996E-2</v>
      </c>
      <c r="D127">
        <f t="shared" si="5"/>
        <v>1973</v>
      </c>
      <c r="E127" t="str">
        <f t="shared" si="6"/>
        <v>Aug-1973</v>
      </c>
      <c r="F127" s="12">
        <f t="shared" si="7"/>
        <v>6.36</v>
      </c>
    </row>
    <row r="128" spans="1:6" x14ac:dyDescent="0.25">
      <c r="A128" s="1">
        <v>26907</v>
      </c>
      <c r="B128">
        <v>8.66</v>
      </c>
      <c r="C128" s="11">
        <f t="shared" si="4"/>
        <v>8.6599999999999996E-2</v>
      </c>
      <c r="D128">
        <f t="shared" si="5"/>
        <v>1973</v>
      </c>
      <c r="E128" t="str">
        <f t="shared" si="6"/>
        <v>Aug-1973</v>
      </c>
      <c r="F128" s="12">
        <f t="shared" si="7"/>
        <v>6.36</v>
      </c>
    </row>
    <row r="129" spans="1:6" x14ac:dyDescent="0.25">
      <c r="A129" s="1">
        <v>26914</v>
      </c>
      <c r="B129">
        <v>8.77</v>
      </c>
      <c r="C129" s="11">
        <f t="shared" si="4"/>
        <v>8.77E-2</v>
      </c>
      <c r="D129">
        <f t="shared" si="5"/>
        <v>1973</v>
      </c>
      <c r="E129" t="str">
        <f t="shared" si="6"/>
        <v>Sep-1973</v>
      </c>
      <c r="F129" s="12">
        <f t="shared" si="7"/>
        <v>6.36</v>
      </c>
    </row>
    <row r="130" spans="1:6" x14ac:dyDescent="0.25">
      <c r="A130" s="1">
        <v>26921</v>
      </c>
      <c r="B130">
        <v>8.81</v>
      </c>
      <c r="C130" s="11">
        <f t="shared" ref="C130:C193" si="8">B130/100</f>
        <v>8.8100000000000012E-2</v>
      </c>
      <c r="D130">
        <f t="shared" ref="D130:D193" si="9">YEAR(A130)</f>
        <v>1973</v>
      </c>
      <c r="E130" t="str">
        <f t="shared" ref="E130:E193" si="10">TEXT(A130,"MMM-YYYY")</f>
        <v>Sep-1973</v>
      </c>
      <c r="F130" s="12">
        <f t="shared" ref="F130:F193" si="11">$H$2</f>
        <v>6.36</v>
      </c>
    </row>
    <row r="131" spans="1:6" x14ac:dyDescent="0.25">
      <c r="A131" s="1">
        <v>26928</v>
      </c>
      <c r="B131">
        <v>8.83</v>
      </c>
      <c r="C131" s="11">
        <f t="shared" si="8"/>
        <v>8.8300000000000003E-2</v>
      </c>
      <c r="D131">
        <f t="shared" si="9"/>
        <v>1973</v>
      </c>
      <c r="E131" t="str">
        <f t="shared" si="10"/>
        <v>Sep-1973</v>
      </c>
      <c r="F131" s="12">
        <f t="shared" si="11"/>
        <v>6.36</v>
      </c>
    </row>
    <row r="132" spans="1:6" x14ac:dyDescent="0.25">
      <c r="A132" s="1">
        <v>26935</v>
      </c>
      <c r="B132">
        <v>8.85</v>
      </c>
      <c r="C132" s="11">
        <f t="shared" si="8"/>
        <v>8.8499999999999995E-2</v>
      </c>
      <c r="D132">
        <f t="shared" si="9"/>
        <v>1973</v>
      </c>
      <c r="E132" t="str">
        <f t="shared" si="10"/>
        <v>Sep-1973</v>
      </c>
      <c r="F132" s="12">
        <f t="shared" si="11"/>
        <v>6.36</v>
      </c>
    </row>
    <row r="133" spans="1:6" x14ac:dyDescent="0.25">
      <c r="A133" s="1">
        <v>26942</v>
      </c>
      <c r="B133">
        <v>8.82</v>
      </c>
      <c r="C133" s="11">
        <f t="shared" si="8"/>
        <v>8.8200000000000001E-2</v>
      </c>
      <c r="D133">
        <f t="shared" si="9"/>
        <v>1973</v>
      </c>
      <c r="E133" t="str">
        <f t="shared" si="10"/>
        <v>Oct-1973</v>
      </c>
      <c r="F133" s="12">
        <f t="shared" si="11"/>
        <v>6.36</v>
      </c>
    </row>
    <row r="134" spans="1:6" x14ac:dyDescent="0.25">
      <c r="A134" s="1">
        <v>26949</v>
      </c>
      <c r="B134">
        <v>8.83</v>
      </c>
      <c r="C134" s="11">
        <f t="shared" si="8"/>
        <v>8.8300000000000003E-2</v>
      </c>
      <c r="D134">
        <f t="shared" si="9"/>
        <v>1973</v>
      </c>
      <c r="E134" t="str">
        <f t="shared" si="10"/>
        <v>Oct-1973</v>
      </c>
      <c r="F134" s="12">
        <f t="shared" si="11"/>
        <v>6.36</v>
      </c>
    </row>
    <row r="135" spans="1:6" x14ac:dyDescent="0.25">
      <c r="A135" s="1">
        <v>26956</v>
      </c>
      <c r="B135">
        <v>8.75</v>
      </c>
      <c r="C135" s="11">
        <f t="shared" si="8"/>
        <v>8.7499999999999994E-2</v>
      </c>
      <c r="D135">
        <f t="shared" si="9"/>
        <v>1973</v>
      </c>
      <c r="E135" t="str">
        <f t="shared" si="10"/>
        <v>Oct-1973</v>
      </c>
      <c r="F135" s="12">
        <f t="shared" si="11"/>
        <v>6.36</v>
      </c>
    </row>
    <row r="136" spans="1:6" x14ac:dyDescent="0.25">
      <c r="A136" s="1">
        <v>26963</v>
      </c>
      <c r="B136">
        <v>8.68</v>
      </c>
      <c r="C136" s="11">
        <f t="shared" si="8"/>
        <v>8.6800000000000002E-2</v>
      </c>
      <c r="D136">
        <f t="shared" si="9"/>
        <v>1973</v>
      </c>
      <c r="E136" t="str">
        <f t="shared" si="10"/>
        <v>Oct-1973</v>
      </c>
      <c r="F136" s="12">
        <f t="shared" si="11"/>
        <v>6.36</v>
      </c>
    </row>
    <row r="137" spans="1:6" x14ac:dyDescent="0.25">
      <c r="A137" s="1">
        <v>26970</v>
      </c>
      <c r="B137">
        <v>8.6199999999999992</v>
      </c>
      <c r="C137" s="11">
        <f t="shared" si="8"/>
        <v>8.6199999999999999E-2</v>
      </c>
      <c r="D137">
        <f t="shared" si="9"/>
        <v>1973</v>
      </c>
      <c r="E137" t="str">
        <f t="shared" si="10"/>
        <v>Nov-1973</v>
      </c>
      <c r="F137" s="12">
        <f t="shared" si="11"/>
        <v>6.36</v>
      </c>
    </row>
    <row r="138" spans="1:6" x14ac:dyDescent="0.25">
      <c r="A138" s="1">
        <v>26977</v>
      </c>
      <c r="B138">
        <v>8.59</v>
      </c>
      <c r="C138" s="11">
        <f t="shared" si="8"/>
        <v>8.5900000000000004E-2</v>
      </c>
      <c r="D138">
        <f t="shared" si="9"/>
        <v>1973</v>
      </c>
      <c r="E138" t="str">
        <f t="shared" si="10"/>
        <v>Nov-1973</v>
      </c>
      <c r="F138" s="12">
        <f t="shared" si="11"/>
        <v>6.36</v>
      </c>
    </row>
    <row r="139" spans="1:6" x14ac:dyDescent="0.25">
      <c r="A139" s="1">
        <v>26984</v>
      </c>
      <c r="B139">
        <v>8.58</v>
      </c>
      <c r="C139" s="11">
        <f t="shared" si="8"/>
        <v>8.5800000000000001E-2</v>
      </c>
      <c r="D139">
        <f t="shared" si="9"/>
        <v>1973</v>
      </c>
      <c r="E139" t="str">
        <f t="shared" si="10"/>
        <v>Nov-1973</v>
      </c>
      <c r="F139" s="12">
        <f t="shared" si="11"/>
        <v>6.36</v>
      </c>
    </row>
    <row r="140" spans="1:6" x14ac:dyDescent="0.25">
      <c r="A140" s="1">
        <v>26991</v>
      </c>
      <c r="B140">
        <v>8.57</v>
      </c>
      <c r="C140" s="11">
        <f t="shared" si="8"/>
        <v>8.5699999999999998E-2</v>
      </c>
      <c r="D140">
        <f t="shared" si="9"/>
        <v>1973</v>
      </c>
      <c r="E140" t="str">
        <f t="shared" si="10"/>
        <v>Nov-1973</v>
      </c>
      <c r="F140" s="12">
        <f t="shared" si="11"/>
        <v>6.36</v>
      </c>
    </row>
    <row r="141" spans="1:6" x14ac:dyDescent="0.25">
      <c r="A141" s="1">
        <v>26998</v>
      </c>
      <c r="B141">
        <v>8.5500000000000007</v>
      </c>
      <c r="C141" s="11">
        <f t="shared" si="8"/>
        <v>8.5500000000000007E-2</v>
      </c>
      <c r="D141">
        <f t="shared" si="9"/>
        <v>1973</v>
      </c>
      <c r="E141" t="str">
        <f t="shared" si="10"/>
        <v>Nov-1973</v>
      </c>
      <c r="F141" s="12">
        <f t="shared" si="11"/>
        <v>6.36</v>
      </c>
    </row>
    <row r="142" spans="1:6" x14ac:dyDescent="0.25">
      <c r="A142" s="1">
        <v>27005</v>
      </c>
      <c r="B142">
        <v>8.5299999999999994</v>
      </c>
      <c r="C142" s="11">
        <f t="shared" si="8"/>
        <v>8.5299999999999987E-2</v>
      </c>
      <c r="D142">
        <f t="shared" si="9"/>
        <v>1973</v>
      </c>
      <c r="E142" t="str">
        <f t="shared" si="10"/>
        <v>Dec-1973</v>
      </c>
      <c r="F142" s="12">
        <f t="shared" si="11"/>
        <v>6.36</v>
      </c>
    </row>
    <row r="143" spans="1:6" x14ac:dyDescent="0.25">
      <c r="A143" s="1">
        <v>27012</v>
      </c>
      <c r="B143">
        <v>8.5299999999999994</v>
      </c>
      <c r="C143" s="11">
        <f t="shared" si="8"/>
        <v>8.5299999999999987E-2</v>
      </c>
      <c r="D143">
        <f t="shared" si="9"/>
        <v>1973</v>
      </c>
      <c r="E143" t="str">
        <f t="shared" si="10"/>
        <v>Dec-1973</v>
      </c>
      <c r="F143" s="12">
        <f t="shared" si="11"/>
        <v>6.36</v>
      </c>
    </row>
    <row r="144" spans="1:6" x14ac:dyDescent="0.25">
      <c r="A144" s="1">
        <v>27019</v>
      </c>
      <c r="B144">
        <v>8.5299999999999994</v>
      </c>
      <c r="C144" s="11">
        <f t="shared" si="8"/>
        <v>8.5299999999999987E-2</v>
      </c>
      <c r="D144">
        <f t="shared" si="9"/>
        <v>1973</v>
      </c>
      <c r="E144" t="str">
        <f t="shared" si="10"/>
        <v>Dec-1973</v>
      </c>
      <c r="F144" s="12">
        <f t="shared" si="11"/>
        <v>6.36</v>
      </c>
    </row>
    <row r="145" spans="1:6" x14ac:dyDescent="0.25">
      <c r="A145" s="1">
        <v>27026</v>
      </c>
      <c r="B145">
        <v>8.56</v>
      </c>
      <c r="C145" s="11">
        <f t="shared" si="8"/>
        <v>8.5600000000000009E-2</v>
      </c>
      <c r="D145">
        <f t="shared" si="9"/>
        <v>1973</v>
      </c>
      <c r="E145" t="str">
        <f t="shared" si="10"/>
        <v>Dec-1973</v>
      </c>
      <c r="F145" s="12">
        <f t="shared" si="11"/>
        <v>6.36</v>
      </c>
    </row>
    <row r="146" spans="1:6" x14ac:dyDescent="0.25">
      <c r="A146" s="1">
        <v>27033</v>
      </c>
      <c r="B146">
        <v>8.56</v>
      </c>
      <c r="C146" s="11">
        <f t="shared" si="8"/>
        <v>8.5600000000000009E-2</v>
      </c>
      <c r="D146">
        <f t="shared" si="9"/>
        <v>1974</v>
      </c>
      <c r="E146" t="str">
        <f t="shared" si="10"/>
        <v>Jan-1974</v>
      </c>
      <c r="F146" s="12">
        <f t="shared" si="11"/>
        <v>6.36</v>
      </c>
    </row>
    <row r="147" spans="1:6" x14ac:dyDescent="0.25">
      <c r="A147" s="1">
        <v>27040</v>
      </c>
      <c r="B147">
        <v>8.5299999999999994</v>
      </c>
      <c r="C147" s="11">
        <f t="shared" si="8"/>
        <v>8.5299999999999987E-2</v>
      </c>
      <c r="D147">
        <f t="shared" si="9"/>
        <v>1974</v>
      </c>
      <c r="E147" t="str">
        <f t="shared" si="10"/>
        <v>Jan-1974</v>
      </c>
      <c r="F147" s="12">
        <f t="shared" si="11"/>
        <v>6.36</v>
      </c>
    </row>
    <row r="148" spans="1:6" x14ac:dyDescent="0.25">
      <c r="A148" s="1">
        <v>27047</v>
      </c>
      <c r="B148">
        <v>8.5500000000000007</v>
      </c>
      <c r="C148" s="11">
        <f t="shared" si="8"/>
        <v>8.5500000000000007E-2</v>
      </c>
      <c r="D148">
        <f t="shared" si="9"/>
        <v>1974</v>
      </c>
      <c r="E148" t="str">
        <f t="shared" si="10"/>
        <v>Jan-1974</v>
      </c>
      <c r="F148" s="12">
        <f t="shared" si="11"/>
        <v>6.36</v>
      </c>
    </row>
    <row r="149" spans="1:6" x14ac:dyDescent="0.25">
      <c r="A149" s="1">
        <v>27054</v>
      </c>
      <c r="B149">
        <v>8.52</v>
      </c>
      <c r="C149" s="11">
        <f t="shared" si="8"/>
        <v>8.5199999999999998E-2</v>
      </c>
      <c r="D149">
        <f t="shared" si="9"/>
        <v>1974</v>
      </c>
      <c r="E149" t="str">
        <f t="shared" si="10"/>
        <v>Jan-1974</v>
      </c>
      <c r="F149" s="12">
        <f t="shared" si="11"/>
        <v>6.36</v>
      </c>
    </row>
    <row r="150" spans="1:6" x14ac:dyDescent="0.25">
      <c r="A150" s="1">
        <v>27061</v>
      </c>
      <c r="B150">
        <v>8.48</v>
      </c>
      <c r="C150" s="11">
        <f t="shared" si="8"/>
        <v>8.48E-2</v>
      </c>
      <c r="D150">
        <f t="shared" si="9"/>
        <v>1974</v>
      </c>
      <c r="E150" t="str">
        <f t="shared" si="10"/>
        <v>Feb-1974</v>
      </c>
      <c r="F150" s="12">
        <f t="shared" si="11"/>
        <v>6.36</v>
      </c>
    </row>
    <row r="151" spans="1:6" x14ac:dyDescent="0.25">
      <c r="A151" s="1">
        <v>27068</v>
      </c>
      <c r="B151">
        <v>8.4600000000000009</v>
      </c>
      <c r="C151" s="11">
        <f t="shared" si="8"/>
        <v>8.4600000000000009E-2</v>
      </c>
      <c r="D151">
        <f t="shared" si="9"/>
        <v>1974</v>
      </c>
      <c r="E151" t="str">
        <f t="shared" si="10"/>
        <v>Feb-1974</v>
      </c>
      <c r="F151" s="12">
        <f t="shared" si="11"/>
        <v>6.36</v>
      </c>
    </row>
    <row r="152" spans="1:6" x14ac:dyDescent="0.25">
      <c r="A152" s="1">
        <v>27075</v>
      </c>
      <c r="B152">
        <v>8.4600000000000009</v>
      </c>
      <c r="C152" s="11">
        <f t="shared" si="8"/>
        <v>8.4600000000000009E-2</v>
      </c>
      <c r="D152">
        <f t="shared" si="9"/>
        <v>1974</v>
      </c>
      <c r="E152" t="str">
        <f t="shared" si="10"/>
        <v>Feb-1974</v>
      </c>
      <c r="F152" s="12">
        <f t="shared" si="11"/>
        <v>6.36</v>
      </c>
    </row>
    <row r="153" spans="1:6" x14ac:dyDescent="0.25">
      <c r="A153" s="1">
        <v>27082</v>
      </c>
      <c r="B153">
        <v>8.42</v>
      </c>
      <c r="C153" s="11">
        <f t="shared" si="8"/>
        <v>8.4199999999999997E-2</v>
      </c>
      <c r="D153">
        <f t="shared" si="9"/>
        <v>1974</v>
      </c>
      <c r="E153" t="str">
        <f t="shared" si="10"/>
        <v>Feb-1974</v>
      </c>
      <c r="F153" s="12">
        <f t="shared" si="11"/>
        <v>6.36</v>
      </c>
    </row>
    <row r="154" spans="1:6" x14ac:dyDescent="0.25">
      <c r="A154" s="1">
        <v>27089</v>
      </c>
      <c r="B154">
        <v>8.41</v>
      </c>
      <c r="C154" s="11">
        <f t="shared" si="8"/>
        <v>8.4100000000000008E-2</v>
      </c>
      <c r="D154">
        <f t="shared" si="9"/>
        <v>1974</v>
      </c>
      <c r="E154" t="str">
        <f t="shared" si="10"/>
        <v>Mar-1974</v>
      </c>
      <c r="F154" s="12">
        <f t="shared" si="11"/>
        <v>6.36</v>
      </c>
    </row>
    <row r="155" spans="1:6" x14ac:dyDescent="0.25">
      <c r="A155" s="1">
        <v>27096</v>
      </c>
      <c r="B155">
        <v>8.41</v>
      </c>
      <c r="C155" s="11">
        <f t="shared" si="8"/>
        <v>8.4100000000000008E-2</v>
      </c>
      <c r="D155">
        <f t="shared" si="9"/>
        <v>1974</v>
      </c>
      <c r="E155" t="str">
        <f t="shared" si="10"/>
        <v>Mar-1974</v>
      </c>
      <c r="F155" s="12">
        <f t="shared" si="11"/>
        <v>6.36</v>
      </c>
    </row>
    <row r="156" spans="1:6" x14ac:dyDescent="0.25">
      <c r="A156" s="1">
        <v>27103</v>
      </c>
      <c r="B156">
        <v>8.4</v>
      </c>
      <c r="C156" s="11">
        <f t="shared" si="8"/>
        <v>8.4000000000000005E-2</v>
      </c>
      <c r="D156">
        <f t="shared" si="9"/>
        <v>1974</v>
      </c>
      <c r="E156" t="str">
        <f t="shared" si="10"/>
        <v>Mar-1974</v>
      </c>
      <c r="F156" s="12">
        <f t="shared" si="11"/>
        <v>6.36</v>
      </c>
    </row>
    <row r="157" spans="1:6" x14ac:dyDescent="0.25">
      <c r="A157" s="1">
        <v>27110</v>
      </c>
      <c r="B157">
        <v>8.4</v>
      </c>
      <c r="C157" s="11">
        <f t="shared" si="8"/>
        <v>8.4000000000000005E-2</v>
      </c>
      <c r="D157">
        <f t="shared" si="9"/>
        <v>1974</v>
      </c>
      <c r="E157" t="str">
        <f t="shared" si="10"/>
        <v>Mar-1974</v>
      </c>
      <c r="F157" s="12">
        <f t="shared" si="11"/>
        <v>6.36</v>
      </c>
    </row>
    <row r="158" spans="1:6" x14ac:dyDescent="0.25">
      <c r="A158" s="1">
        <v>27117</v>
      </c>
      <c r="B158">
        <v>8.41</v>
      </c>
      <c r="C158" s="11">
        <f t="shared" si="8"/>
        <v>8.4100000000000008E-2</v>
      </c>
      <c r="D158">
        <f t="shared" si="9"/>
        <v>1974</v>
      </c>
      <c r="E158" t="str">
        <f t="shared" si="10"/>
        <v>Mar-1974</v>
      </c>
      <c r="F158" s="12">
        <f t="shared" si="11"/>
        <v>6.36</v>
      </c>
    </row>
    <row r="159" spans="1:6" x14ac:dyDescent="0.25">
      <c r="A159" s="1">
        <v>27124</v>
      </c>
      <c r="B159">
        <v>8.44</v>
      </c>
      <c r="C159" s="11">
        <f t="shared" si="8"/>
        <v>8.4399999999999989E-2</v>
      </c>
      <c r="D159">
        <f t="shared" si="9"/>
        <v>1974</v>
      </c>
      <c r="E159" t="str">
        <f t="shared" si="10"/>
        <v>Apr-1974</v>
      </c>
      <c r="F159" s="12">
        <f t="shared" si="11"/>
        <v>6.36</v>
      </c>
    </row>
    <row r="160" spans="1:6" x14ac:dyDescent="0.25">
      <c r="A160" s="1">
        <v>27131</v>
      </c>
      <c r="B160">
        <v>8.5299999999999994</v>
      </c>
      <c r="C160" s="11">
        <f t="shared" si="8"/>
        <v>8.5299999999999987E-2</v>
      </c>
      <c r="D160">
        <f t="shared" si="9"/>
        <v>1974</v>
      </c>
      <c r="E160" t="str">
        <f t="shared" si="10"/>
        <v>Apr-1974</v>
      </c>
      <c r="F160" s="12">
        <f t="shared" si="11"/>
        <v>6.36</v>
      </c>
    </row>
    <row r="161" spans="1:6" x14ac:dyDescent="0.25">
      <c r="A161" s="1">
        <v>27138</v>
      </c>
      <c r="B161">
        <v>8.6300000000000008</v>
      </c>
      <c r="C161" s="11">
        <f t="shared" si="8"/>
        <v>8.6300000000000002E-2</v>
      </c>
      <c r="D161">
        <f t="shared" si="9"/>
        <v>1974</v>
      </c>
      <c r="E161" t="str">
        <f t="shared" si="10"/>
        <v>Apr-1974</v>
      </c>
      <c r="F161" s="12">
        <f t="shared" si="11"/>
        <v>6.36</v>
      </c>
    </row>
    <row r="162" spans="1:6" x14ac:dyDescent="0.25">
      <c r="A162" s="1">
        <v>27145</v>
      </c>
      <c r="B162">
        <v>8.73</v>
      </c>
      <c r="C162" s="11">
        <f t="shared" si="8"/>
        <v>8.7300000000000003E-2</v>
      </c>
      <c r="D162">
        <f t="shared" si="9"/>
        <v>1974</v>
      </c>
      <c r="E162" t="str">
        <f t="shared" si="10"/>
        <v>Apr-1974</v>
      </c>
      <c r="F162" s="12">
        <f t="shared" si="11"/>
        <v>6.36</v>
      </c>
    </row>
    <row r="163" spans="1:6" x14ac:dyDescent="0.25">
      <c r="A163" s="1">
        <v>27152</v>
      </c>
      <c r="B163">
        <v>8.8699999999999992</v>
      </c>
      <c r="C163" s="11">
        <f t="shared" si="8"/>
        <v>8.8699999999999987E-2</v>
      </c>
      <c r="D163">
        <f t="shared" si="9"/>
        <v>1974</v>
      </c>
      <c r="E163" t="str">
        <f t="shared" si="10"/>
        <v>May-1974</v>
      </c>
      <c r="F163" s="12">
        <f t="shared" si="11"/>
        <v>6.36</v>
      </c>
    </row>
    <row r="164" spans="1:6" x14ac:dyDescent="0.25">
      <c r="A164" s="1">
        <v>27159</v>
      </c>
      <c r="B164">
        <v>8.98</v>
      </c>
      <c r="C164" s="11">
        <f t="shared" si="8"/>
        <v>8.9800000000000005E-2</v>
      </c>
      <c r="D164">
        <f t="shared" si="9"/>
        <v>1974</v>
      </c>
      <c r="E164" t="str">
        <f t="shared" si="10"/>
        <v>May-1974</v>
      </c>
      <c r="F164" s="12">
        <f t="shared" si="11"/>
        <v>6.36</v>
      </c>
    </row>
    <row r="165" spans="1:6" x14ac:dyDescent="0.25">
      <c r="A165" s="1">
        <v>27166</v>
      </c>
      <c r="B165">
        <v>8.9700000000000006</v>
      </c>
      <c r="C165" s="11">
        <f t="shared" si="8"/>
        <v>8.9700000000000002E-2</v>
      </c>
      <c r="D165">
        <f t="shared" si="9"/>
        <v>1974</v>
      </c>
      <c r="E165" t="str">
        <f t="shared" si="10"/>
        <v>May-1974</v>
      </c>
      <c r="F165" s="12">
        <f t="shared" si="11"/>
        <v>6.36</v>
      </c>
    </row>
    <row r="166" spans="1:6" x14ac:dyDescent="0.25">
      <c r="A166" s="1">
        <v>27173</v>
      </c>
      <c r="B166">
        <v>9.01</v>
      </c>
      <c r="C166" s="11">
        <f t="shared" si="8"/>
        <v>9.01E-2</v>
      </c>
      <c r="D166">
        <f t="shared" si="9"/>
        <v>1974</v>
      </c>
      <c r="E166" t="str">
        <f t="shared" si="10"/>
        <v>May-1974</v>
      </c>
      <c r="F166" s="12">
        <f t="shared" si="11"/>
        <v>6.36</v>
      </c>
    </row>
    <row r="167" spans="1:6" x14ac:dyDescent="0.25">
      <c r="A167" s="1">
        <v>27180</v>
      </c>
      <c r="B167">
        <v>9.0299999999999994</v>
      </c>
      <c r="C167" s="11">
        <f t="shared" si="8"/>
        <v>9.0299999999999991E-2</v>
      </c>
      <c r="D167">
        <f t="shared" si="9"/>
        <v>1974</v>
      </c>
      <c r="E167" t="str">
        <f t="shared" si="10"/>
        <v>May-1974</v>
      </c>
      <c r="F167" s="12">
        <f t="shared" si="11"/>
        <v>6.36</v>
      </c>
    </row>
    <row r="168" spans="1:6" x14ac:dyDescent="0.25">
      <c r="A168" s="1">
        <v>27187</v>
      </c>
      <c r="B168">
        <v>9.06</v>
      </c>
      <c r="C168" s="11">
        <f t="shared" si="8"/>
        <v>9.06E-2</v>
      </c>
      <c r="D168">
        <f t="shared" si="9"/>
        <v>1974</v>
      </c>
      <c r="E168" t="str">
        <f t="shared" si="10"/>
        <v>Jun-1974</v>
      </c>
      <c r="F168" s="12">
        <f t="shared" si="11"/>
        <v>6.36</v>
      </c>
    </row>
    <row r="169" spans="1:6" x14ac:dyDescent="0.25">
      <c r="A169" s="1">
        <v>27194</v>
      </c>
      <c r="B169">
        <v>9.11</v>
      </c>
      <c r="C169" s="11">
        <f t="shared" si="8"/>
        <v>9.11E-2</v>
      </c>
      <c r="D169">
        <f t="shared" si="9"/>
        <v>1974</v>
      </c>
      <c r="E169" t="str">
        <f t="shared" si="10"/>
        <v>Jun-1974</v>
      </c>
      <c r="F169" s="12">
        <f t="shared" si="11"/>
        <v>6.36</v>
      </c>
    </row>
    <row r="170" spans="1:6" x14ac:dyDescent="0.25">
      <c r="A170" s="1">
        <v>27201</v>
      </c>
      <c r="B170">
        <v>9.07</v>
      </c>
      <c r="C170" s="11">
        <f t="shared" si="8"/>
        <v>9.0700000000000003E-2</v>
      </c>
      <c r="D170">
        <f t="shared" si="9"/>
        <v>1974</v>
      </c>
      <c r="E170" t="str">
        <f t="shared" si="10"/>
        <v>Jun-1974</v>
      </c>
      <c r="F170" s="12">
        <f t="shared" si="11"/>
        <v>6.36</v>
      </c>
    </row>
    <row r="171" spans="1:6" x14ac:dyDescent="0.25">
      <c r="A171" s="1">
        <v>27208</v>
      </c>
      <c r="B171">
        <v>9.1</v>
      </c>
      <c r="C171" s="11">
        <f t="shared" si="8"/>
        <v>9.0999999999999998E-2</v>
      </c>
      <c r="D171">
        <f t="shared" si="9"/>
        <v>1974</v>
      </c>
      <c r="E171" t="str">
        <f t="shared" si="10"/>
        <v>Jun-1974</v>
      </c>
      <c r="F171" s="12">
        <f t="shared" si="11"/>
        <v>6.36</v>
      </c>
    </row>
    <row r="172" spans="1:6" x14ac:dyDescent="0.25">
      <c r="A172" s="1">
        <v>27215</v>
      </c>
      <c r="B172">
        <v>9.14</v>
      </c>
      <c r="C172" s="11">
        <f t="shared" si="8"/>
        <v>9.1400000000000009E-2</v>
      </c>
      <c r="D172">
        <f t="shared" si="9"/>
        <v>1974</v>
      </c>
      <c r="E172" t="str">
        <f t="shared" si="10"/>
        <v>Jul-1974</v>
      </c>
      <c r="F172" s="12">
        <f t="shared" si="11"/>
        <v>6.36</v>
      </c>
    </row>
    <row r="173" spans="1:6" x14ac:dyDescent="0.25">
      <c r="A173" s="1">
        <v>27222</v>
      </c>
      <c r="B173">
        <v>9.19</v>
      </c>
      <c r="C173" s="11">
        <f t="shared" si="8"/>
        <v>9.1899999999999996E-2</v>
      </c>
      <c r="D173">
        <f t="shared" si="9"/>
        <v>1974</v>
      </c>
      <c r="E173" t="str">
        <f t="shared" si="10"/>
        <v>Jul-1974</v>
      </c>
      <c r="F173" s="12">
        <f t="shared" si="11"/>
        <v>6.36</v>
      </c>
    </row>
    <row r="174" spans="1:6" x14ac:dyDescent="0.25">
      <c r="A174" s="1">
        <v>27229</v>
      </c>
      <c r="B174">
        <v>9.3699999999999992</v>
      </c>
      <c r="C174" s="11">
        <f t="shared" si="8"/>
        <v>9.3699999999999992E-2</v>
      </c>
      <c r="D174">
        <f t="shared" si="9"/>
        <v>1974</v>
      </c>
      <c r="E174" t="str">
        <f t="shared" si="10"/>
        <v>Jul-1974</v>
      </c>
      <c r="F174" s="12">
        <f t="shared" si="11"/>
        <v>6.36</v>
      </c>
    </row>
    <row r="175" spans="1:6" x14ac:dyDescent="0.25">
      <c r="A175" s="1">
        <v>27236</v>
      </c>
      <c r="B175">
        <v>9.42</v>
      </c>
      <c r="C175" s="11">
        <f t="shared" si="8"/>
        <v>9.4200000000000006E-2</v>
      </c>
      <c r="D175">
        <f t="shared" si="9"/>
        <v>1974</v>
      </c>
      <c r="E175" t="str">
        <f t="shared" si="10"/>
        <v>Jul-1974</v>
      </c>
      <c r="F175" s="12">
        <f t="shared" si="11"/>
        <v>6.36</v>
      </c>
    </row>
    <row r="176" spans="1:6" x14ac:dyDescent="0.25">
      <c r="A176" s="1">
        <v>27243</v>
      </c>
      <c r="B176">
        <v>9.4700000000000006</v>
      </c>
      <c r="C176" s="11">
        <f t="shared" si="8"/>
        <v>9.4700000000000006E-2</v>
      </c>
      <c r="D176">
        <f t="shared" si="9"/>
        <v>1974</v>
      </c>
      <c r="E176" t="str">
        <f t="shared" si="10"/>
        <v>Aug-1974</v>
      </c>
      <c r="F176" s="12">
        <f t="shared" si="11"/>
        <v>6.36</v>
      </c>
    </row>
    <row r="177" spans="1:6" x14ac:dyDescent="0.25">
      <c r="A177" s="1">
        <v>27250</v>
      </c>
      <c r="B177">
        <v>9.5</v>
      </c>
      <c r="C177" s="11">
        <f t="shared" si="8"/>
        <v>9.5000000000000001E-2</v>
      </c>
      <c r="D177">
        <f t="shared" si="9"/>
        <v>1974</v>
      </c>
      <c r="E177" t="str">
        <f t="shared" si="10"/>
        <v>Aug-1974</v>
      </c>
      <c r="F177" s="12">
        <f t="shared" si="11"/>
        <v>6.36</v>
      </c>
    </row>
    <row r="178" spans="1:6" x14ac:dyDescent="0.25">
      <c r="A178" s="1">
        <v>27257</v>
      </c>
      <c r="B178">
        <v>9.6</v>
      </c>
      <c r="C178" s="11">
        <f t="shared" si="8"/>
        <v>9.6000000000000002E-2</v>
      </c>
      <c r="D178">
        <f t="shared" si="9"/>
        <v>1974</v>
      </c>
      <c r="E178" t="str">
        <f t="shared" si="10"/>
        <v>Aug-1974</v>
      </c>
      <c r="F178" s="12">
        <f t="shared" si="11"/>
        <v>6.36</v>
      </c>
    </row>
    <row r="179" spans="1:6" x14ac:dyDescent="0.25">
      <c r="A179" s="1">
        <v>27264</v>
      </c>
      <c r="B179">
        <v>9.6199999999999992</v>
      </c>
      <c r="C179" s="11">
        <f t="shared" si="8"/>
        <v>9.6199999999999994E-2</v>
      </c>
      <c r="D179">
        <f t="shared" si="9"/>
        <v>1974</v>
      </c>
      <c r="E179" t="str">
        <f t="shared" si="10"/>
        <v>Aug-1974</v>
      </c>
      <c r="F179" s="12">
        <f t="shared" si="11"/>
        <v>6.36</v>
      </c>
    </row>
    <row r="180" spans="1:6" x14ac:dyDescent="0.25">
      <c r="A180" s="1">
        <v>27271</v>
      </c>
      <c r="B180">
        <v>9.74</v>
      </c>
      <c r="C180" s="11">
        <f t="shared" si="8"/>
        <v>9.74E-2</v>
      </c>
      <c r="D180">
        <f t="shared" si="9"/>
        <v>1974</v>
      </c>
      <c r="E180" t="str">
        <f t="shared" si="10"/>
        <v>Aug-1974</v>
      </c>
      <c r="F180" s="12">
        <f t="shared" si="11"/>
        <v>6.36</v>
      </c>
    </row>
    <row r="181" spans="1:6" x14ac:dyDescent="0.25">
      <c r="A181" s="1">
        <v>27278</v>
      </c>
      <c r="B181">
        <v>9.8800000000000008</v>
      </c>
      <c r="C181" s="11">
        <f t="shared" si="8"/>
        <v>9.8800000000000013E-2</v>
      </c>
      <c r="D181">
        <f t="shared" si="9"/>
        <v>1974</v>
      </c>
      <c r="E181" t="str">
        <f t="shared" si="10"/>
        <v>Sep-1974</v>
      </c>
      <c r="F181" s="12">
        <f t="shared" si="11"/>
        <v>6.36</v>
      </c>
    </row>
    <row r="182" spans="1:6" x14ac:dyDescent="0.25">
      <c r="A182" s="1">
        <v>27285</v>
      </c>
      <c r="B182">
        <v>9.92</v>
      </c>
      <c r="C182" s="11">
        <f t="shared" si="8"/>
        <v>9.9199999999999997E-2</v>
      </c>
      <c r="D182">
        <f t="shared" si="9"/>
        <v>1974</v>
      </c>
      <c r="E182" t="str">
        <f t="shared" si="10"/>
        <v>Sep-1974</v>
      </c>
      <c r="F182" s="12">
        <f t="shared" si="11"/>
        <v>6.36</v>
      </c>
    </row>
    <row r="183" spans="1:6" x14ac:dyDescent="0.25">
      <c r="A183" s="1">
        <v>27292</v>
      </c>
      <c r="B183">
        <v>10</v>
      </c>
      <c r="C183" s="11">
        <f t="shared" si="8"/>
        <v>0.1</v>
      </c>
      <c r="D183">
        <f t="shared" si="9"/>
        <v>1974</v>
      </c>
      <c r="E183" t="str">
        <f t="shared" si="10"/>
        <v>Sep-1974</v>
      </c>
      <c r="F183" s="12">
        <f t="shared" si="11"/>
        <v>6.36</v>
      </c>
    </row>
    <row r="184" spans="1:6" x14ac:dyDescent="0.25">
      <c r="A184" s="1">
        <v>27299</v>
      </c>
      <c r="B184">
        <v>10.029999999999999</v>
      </c>
      <c r="C184" s="11">
        <f t="shared" si="8"/>
        <v>0.1003</v>
      </c>
      <c r="D184">
        <f t="shared" si="9"/>
        <v>1974</v>
      </c>
      <c r="E184" t="str">
        <f t="shared" si="10"/>
        <v>Sep-1974</v>
      </c>
      <c r="F184" s="12">
        <f t="shared" si="11"/>
        <v>6.36</v>
      </c>
    </row>
    <row r="185" spans="1:6" x14ac:dyDescent="0.25">
      <c r="A185" s="1">
        <v>27306</v>
      </c>
      <c r="B185">
        <v>10.02</v>
      </c>
      <c r="C185" s="11">
        <f t="shared" si="8"/>
        <v>0.1002</v>
      </c>
      <c r="D185">
        <f t="shared" si="9"/>
        <v>1974</v>
      </c>
      <c r="E185" t="str">
        <f t="shared" si="10"/>
        <v>Oct-1974</v>
      </c>
      <c r="F185" s="12">
        <f t="shared" si="11"/>
        <v>6.36</v>
      </c>
    </row>
    <row r="186" spans="1:6" x14ac:dyDescent="0.25">
      <c r="A186" s="1">
        <v>27313</v>
      </c>
      <c r="B186">
        <v>9.9600000000000009</v>
      </c>
      <c r="C186" s="11">
        <f t="shared" si="8"/>
        <v>9.9600000000000008E-2</v>
      </c>
      <c r="D186">
        <f t="shared" si="9"/>
        <v>1974</v>
      </c>
      <c r="E186" t="str">
        <f t="shared" si="10"/>
        <v>Oct-1974</v>
      </c>
      <c r="F186" s="12">
        <f t="shared" si="11"/>
        <v>6.36</v>
      </c>
    </row>
    <row r="187" spans="1:6" x14ac:dyDescent="0.25">
      <c r="A187" s="1">
        <v>27320</v>
      </c>
      <c r="B187">
        <v>9.99</v>
      </c>
      <c r="C187" s="11">
        <f t="shared" si="8"/>
        <v>9.9900000000000003E-2</v>
      </c>
      <c r="D187">
        <f t="shared" si="9"/>
        <v>1974</v>
      </c>
      <c r="E187" t="str">
        <f t="shared" si="10"/>
        <v>Oct-1974</v>
      </c>
      <c r="F187" s="12">
        <f t="shared" si="11"/>
        <v>6.36</v>
      </c>
    </row>
    <row r="188" spans="1:6" x14ac:dyDescent="0.25">
      <c r="A188" s="1">
        <v>27327</v>
      </c>
      <c r="B188">
        <v>9.94</v>
      </c>
      <c r="C188" s="11">
        <f t="shared" si="8"/>
        <v>9.9399999999999988E-2</v>
      </c>
      <c r="D188">
        <f t="shared" si="9"/>
        <v>1974</v>
      </c>
      <c r="E188" t="str">
        <f t="shared" si="10"/>
        <v>Oct-1974</v>
      </c>
      <c r="F188" s="12">
        <f t="shared" si="11"/>
        <v>6.36</v>
      </c>
    </row>
    <row r="189" spans="1:6" x14ac:dyDescent="0.25">
      <c r="A189" s="1">
        <v>27334</v>
      </c>
      <c r="B189">
        <v>9.8699999999999992</v>
      </c>
      <c r="C189" s="11">
        <f t="shared" si="8"/>
        <v>9.8699999999999996E-2</v>
      </c>
      <c r="D189">
        <f t="shared" si="9"/>
        <v>1974</v>
      </c>
      <c r="E189" t="str">
        <f t="shared" si="10"/>
        <v>Nov-1974</v>
      </c>
      <c r="F189" s="12">
        <f t="shared" si="11"/>
        <v>6.36</v>
      </c>
    </row>
    <row r="190" spans="1:6" x14ac:dyDescent="0.25">
      <c r="A190" s="1">
        <v>27341</v>
      </c>
      <c r="B190">
        <v>9.81</v>
      </c>
      <c r="C190" s="11">
        <f t="shared" si="8"/>
        <v>9.8100000000000007E-2</v>
      </c>
      <c r="D190">
        <f t="shared" si="9"/>
        <v>1974</v>
      </c>
      <c r="E190" t="str">
        <f t="shared" si="10"/>
        <v>Nov-1974</v>
      </c>
      <c r="F190" s="12">
        <f t="shared" si="11"/>
        <v>6.36</v>
      </c>
    </row>
    <row r="191" spans="1:6" x14ac:dyDescent="0.25">
      <c r="A191" s="1">
        <v>27348</v>
      </c>
      <c r="B191">
        <v>9.81</v>
      </c>
      <c r="C191" s="11">
        <f t="shared" si="8"/>
        <v>9.8100000000000007E-2</v>
      </c>
      <c r="D191">
        <f t="shared" si="9"/>
        <v>1974</v>
      </c>
      <c r="E191" t="str">
        <f t="shared" si="10"/>
        <v>Nov-1974</v>
      </c>
      <c r="F191" s="12">
        <f t="shared" si="11"/>
        <v>6.36</v>
      </c>
    </row>
    <row r="192" spans="1:6" x14ac:dyDescent="0.25">
      <c r="A192" s="1">
        <v>27355</v>
      </c>
      <c r="B192">
        <v>9.73</v>
      </c>
      <c r="C192" s="11">
        <f t="shared" si="8"/>
        <v>9.7299999999999998E-2</v>
      </c>
      <c r="D192">
        <f t="shared" si="9"/>
        <v>1974</v>
      </c>
      <c r="E192" t="str">
        <f t="shared" si="10"/>
        <v>Nov-1974</v>
      </c>
      <c r="F192" s="12">
        <f t="shared" si="11"/>
        <v>6.36</v>
      </c>
    </row>
    <row r="193" spans="1:6" x14ac:dyDescent="0.25">
      <c r="A193" s="1">
        <v>27362</v>
      </c>
      <c r="B193">
        <v>9.7200000000000006</v>
      </c>
      <c r="C193" s="11">
        <f t="shared" si="8"/>
        <v>9.7200000000000009E-2</v>
      </c>
      <c r="D193">
        <f t="shared" si="9"/>
        <v>1974</v>
      </c>
      <c r="E193" t="str">
        <f t="shared" si="10"/>
        <v>Nov-1974</v>
      </c>
      <c r="F193" s="12">
        <f t="shared" si="11"/>
        <v>6.36</v>
      </c>
    </row>
    <row r="194" spans="1:6" x14ac:dyDescent="0.25">
      <c r="A194" s="1">
        <v>27369</v>
      </c>
      <c r="B194">
        <v>9.69</v>
      </c>
      <c r="C194" s="11">
        <f t="shared" ref="C194:C257" si="12">B194/100</f>
        <v>9.69E-2</v>
      </c>
      <c r="D194">
        <f t="shared" ref="D194:D257" si="13">YEAR(A194)</f>
        <v>1974</v>
      </c>
      <c r="E194" t="str">
        <f t="shared" ref="E194:E257" si="14">TEXT(A194,"MMM-YYYY")</f>
        <v>Dec-1974</v>
      </c>
      <c r="F194" s="12">
        <f t="shared" ref="F194:F257" si="15">$H$2</f>
        <v>6.36</v>
      </c>
    </row>
    <row r="195" spans="1:6" x14ac:dyDescent="0.25">
      <c r="A195" s="1">
        <v>27376</v>
      </c>
      <c r="B195">
        <v>9.6300000000000008</v>
      </c>
      <c r="C195" s="11">
        <f t="shared" si="12"/>
        <v>9.6300000000000011E-2</v>
      </c>
      <c r="D195">
        <f t="shared" si="13"/>
        <v>1974</v>
      </c>
      <c r="E195" t="str">
        <f t="shared" si="14"/>
        <v>Dec-1974</v>
      </c>
      <c r="F195" s="12">
        <f t="shared" si="15"/>
        <v>6.36</v>
      </c>
    </row>
    <row r="196" spans="1:6" x14ac:dyDescent="0.25">
      <c r="A196" s="1">
        <v>27383</v>
      </c>
      <c r="B196">
        <v>9.58</v>
      </c>
      <c r="C196" s="11">
        <f t="shared" si="12"/>
        <v>9.5799999999999996E-2</v>
      </c>
      <c r="D196">
        <f t="shared" si="13"/>
        <v>1974</v>
      </c>
      <c r="E196" t="str">
        <f t="shared" si="14"/>
        <v>Dec-1974</v>
      </c>
      <c r="F196" s="12">
        <f t="shared" si="15"/>
        <v>6.36</v>
      </c>
    </row>
    <row r="197" spans="1:6" x14ac:dyDescent="0.25">
      <c r="A197" s="1">
        <v>27390</v>
      </c>
      <c r="B197">
        <v>9.56</v>
      </c>
      <c r="C197" s="11">
        <f t="shared" si="12"/>
        <v>9.5600000000000004E-2</v>
      </c>
      <c r="D197">
        <f t="shared" si="13"/>
        <v>1974</v>
      </c>
      <c r="E197" t="str">
        <f t="shared" si="14"/>
        <v>Dec-1974</v>
      </c>
      <c r="F197" s="12">
        <f t="shared" si="15"/>
        <v>6.36</v>
      </c>
    </row>
    <row r="198" spans="1:6" x14ac:dyDescent="0.25">
      <c r="A198" s="1">
        <v>27397</v>
      </c>
      <c r="B198">
        <v>9.6</v>
      </c>
      <c r="C198" s="11">
        <f t="shared" si="12"/>
        <v>9.6000000000000002E-2</v>
      </c>
      <c r="D198">
        <f t="shared" si="13"/>
        <v>1975</v>
      </c>
      <c r="E198" t="str">
        <f t="shared" si="14"/>
        <v>Jan-1975</v>
      </c>
      <c r="F198" s="12">
        <f t="shared" si="15"/>
        <v>6.36</v>
      </c>
    </row>
    <row r="199" spans="1:6" x14ac:dyDescent="0.25">
      <c r="A199" s="1">
        <v>27404</v>
      </c>
      <c r="B199">
        <v>9.49</v>
      </c>
      <c r="C199" s="11">
        <f t="shared" si="12"/>
        <v>9.4899999999999998E-2</v>
      </c>
      <c r="D199">
        <f t="shared" si="13"/>
        <v>1975</v>
      </c>
      <c r="E199" t="str">
        <f t="shared" si="14"/>
        <v>Jan-1975</v>
      </c>
      <c r="F199" s="12">
        <f t="shared" si="15"/>
        <v>6.36</v>
      </c>
    </row>
    <row r="200" spans="1:6" x14ac:dyDescent="0.25">
      <c r="A200" s="1">
        <v>27411</v>
      </c>
      <c r="B200">
        <v>9.43</v>
      </c>
      <c r="C200" s="11">
        <f t="shared" si="12"/>
        <v>9.4299999999999995E-2</v>
      </c>
      <c r="D200">
        <f t="shared" si="13"/>
        <v>1975</v>
      </c>
      <c r="E200" t="str">
        <f t="shared" si="14"/>
        <v>Jan-1975</v>
      </c>
      <c r="F200" s="12">
        <f t="shared" si="15"/>
        <v>6.36</v>
      </c>
    </row>
    <row r="201" spans="1:6" x14ac:dyDescent="0.25">
      <c r="A201" s="1">
        <v>27418</v>
      </c>
      <c r="B201">
        <v>9.35</v>
      </c>
      <c r="C201" s="11">
        <f t="shared" si="12"/>
        <v>9.35E-2</v>
      </c>
      <c r="D201">
        <f t="shared" si="13"/>
        <v>1975</v>
      </c>
      <c r="E201" t="str">
        <f t="shared" si="14"/>
        <v>Jan-1975</v>
      </c>
      <c r="F201" s="12">
        <f t="shared" si="15"/>
        <v>6.36</v>
      </c>
    </row>
    <row r="202" spans="1:6" x14ac:dyDescent="0.25">
      <c r="A202" s="1">
        <v>27425</v>
      </c>
      <c r="B202">
        <v>9.2899999999999991</v>
      </c>
      <c r="C202" s="11">
        <f t="shared" si="12"/>
        <v>9.2899999999999996E-2</v>
      </c>
      <c r="D202">
        <f t="shared" si="13"/>
        <v>1975</v>
      </c>
      <c r="E202" t="str">
        <f t="shared" si="14"/>
        <v>Jan-1975</v>
      </c>
      <c r="F202" s="12">
        <f t="shared" si="15"/>
        <v>6.36</v>
      </c>
    </row>
    <row r="203" spans="1:6" x14ac:dyDescent="0.25">
      <c r="A203" s="1">
        <v>27432</v>
      </c>
      <c r="B203">
        <v>9.1999999999999993</v>
      </c>
      <c r="C203" s="11">
        <f t="shared" si="12"/>
        <v>9.1999999999999998E-2</v>
      </c>
      <c r="D203">
        <f t="shared" si="13"/>
        <v>1975</v>
      </c>
      <c r="E203" t="str">
        <f t="shared" si="14"/>
        <v>Feb-1975</v>
      </c>
      <c r="F203" s="12">
        <f t="shared" si="15"/>
        <v>6.36</v>
      </c>
    </row>
    <row r="204" spans="1:6" x14ac:dyDescent="0.25">
      <c r="A204" s="1">
        <v>27439</v>
      </c>
      <c r="B204">
        <v>9.1300000000000008</v>
      </c>
      <c r="C204" s="11">
        <f t="shared" si="12"/>
        <v>9.1300000000000006E-2</v>
      </c>
      <c r="D204">
        <f t="shared" si="13"/>
        <v>1975</v>
      </c>
      <c r="E204" t="str">
        <f t="shared" si="14"/>
        <v>Feb-1975</v>
      </c>
      <c r="F204" s="12">
        <f t="shared" si="15"/>
        <v>6.36</v>
      </c>
    </row>
    <row r="205" spans="1:6" x14ac:dyDescent="0.25">
      <c r="A205" s="1">
        <v>27446</v>
      </c>
      <c r="B205">
        <v>9.07</v>
      </c>
      <c r="C205" s="11">
        <f t="shared" si="12"/>
        <v>9.0700000000000003E-2</v>
      </c>
      <c r="D205">
        <f t="shared" si="13"/>
        <v>1975</v>
      </c>
      <c r="E205" t="str">
        <f t="shared" si="14"/>
        <v>Feb-1975</v>
      </c>
      <c r="F205" s="12">
        <f t="shared" si="15"/>
        <v>6.36</v>
      </c>
    </row>
    <row r="206" spans="1:6" x14ac:dyDescent="0.25">
      <c r="A206" s="1">
        <v>27453</v>
      </c>
      <c r="B206">
        <v>9.02</v>
      </c>
      <c r="C206" s="11">
        <f t="shared" si="12"/>
        <v>9.0200000000000002E-2</v>
      </c>
      <c r="D206">
        <f t="shared" si="13"/>
        <v>1975</v>
      </c>
      <c r="E206" t="str">
        <f t="shared" si="14"/>
        <v>Feb-1975</v>
      </c>
      <c r="F206" s="12">
        <f t="shared" si="15"/>
        <v>6.36</v>
      </c>
    </row>
    <row r="207" spans="1:6" x14ac:dyDescent="0.25">
      <c r="A207" s="1">
        <v>27460</v>
      </c>
      <c r="B207">
        <v>9</v>
      </c>
      <c r="C207" s="11">
        <f t="shared" si="12"/>
        <v>0.09</v>
      </c>
      <c r="D207">
        <f t="shared" si="13"/>
        <v>1975</v>
      </c>
      <c r="E207" t="str">
        <f t="shared" si="14"/>
        <v>Mar-1975</v>
      </c>
      <c r="F207" s="12">
        <f t="shared" si="15"/>
        <v>6.36</v>
      </c>
    </row>
    <row r="208" spans="1:6" x14ac:dyDescent="0.25">
      <c r="A208" s="1">
        <v>27467</v>
      </c>
      <c r="B208">
        <v>8.89</v>
      </c>
      <c r="C208" s="11">
        <f t="shared" si="12"/>
        <v>8.8900000000000007E-2</v>
      </c>
      <c r="D208">
        <f t="shared" si="13"/>
        <v>1975</v>
      </c>
      <c r="E208" t="str">
        <f t="shared" si="14"/>
        <v>Mar-1975</v>
      </c>
      <c r="F208" s="12">
        <f t="shared" si="15"/>
        <v>6.36</v>
      </c>
    </row>
    <row r="209" spans="1:6" x14ac:dyDescent="0.25">
      <c r="A209" s="1">
        <v>27474</v>
      </c>
      <c r="B209">
        <v>8.86</v>
      </c>
      <c r="C209" s="11">
        <f t="shared" si="12"/>
        <v>8.8599999999999998E-2</v>
      </c>
      <c r="D209">
        <f t="shared" si="13"/>
        <v>1975</v>
      </c>
      <c r="E209" t="str">
        <f t="shared" si="14"/>
        <v>Mar-1975</v>
      </c>
      <c r="F209" s="12">
        <f t="shared" si="15"/>
        <v>6.36</v>
      </c>
    </row>
    <row r="210" spans="1:6" x14ac:dyDescent="0.25">
      <c r="A210" s="1">
        <v>27481</v>
      </c>
      <c r="B210">
        <v>8.86</v>
      </c>
      <c r="C210" s="11">
        <f t="shared" si="12"/>
        <v>8.8599999999999998E-2</v>
      </c>
      <c r="D210">
        <f t="shared" si="13"/>
        <v>1975</v>
      </c>
      <c r="E210" t="str">
        <f t="shared" si="14"/>
        <v>Mar-1975</v>
      </c>
      <c r="F210" s="12">
        <f t="shared" si="15"/>
        <v>6.36</v>
      </c>
    </row>
    <row r="211" spans="1:6" x14ac:dyDescent="0.25">
      <c r="A211" s="1">
        <v>27488</v>
      </c>
      <c r="B211">
        <v>8.83</v>
      </c>
      <c r="C211" s="11">
        <f t="shared" si="12"/>
        <v>8.8300000000000003E-2</v>
      </c>
      <c r="D211">
        <f t="shared" si="13"/>
        <v>1975</v>
      </c>
      <c r="E211" t="str">
        <f t="shared" si="14"/>
        <v>Apr-1975</v>
      </c>
      <c r="F211" s="12">
        <f t="shared" si="15"/>
        <v>6.36</v>
      </c>
    </row>
    <row r="212" spans="1:6" x14ac:dyDescent="0.25">
      <c r="A212" s="1">
        <v>27495</v>
      </c>
      <c r="B212">
        <v>8.81</v>
      </c>
      <c r="C212" s="11">
        <f t="shared" si="12"/>
        <v>8.8100000000000012E-2</v>
      </c>
      <c r="D212">
        <f t="shared" si="13"/>
        <v>1975</v>
      </c>
      <c r="E212" t="str">
        <f t="shared" si="14"/>
        <v>Apr-1975</v>
      </c>
      <c r="F212" s="12">
        <f t="shared" si="15"/>
        <v>6.36</v>
      </c>
    </row>
    <row r="213" spans="1:6" x14ac:dyDescent="0.25">
      <c r="A213" s="1">
        <v>27502</v>
      </c>
      <c r="B213">
        <v>8.8000000000000007</v>
      </c>
      <c r="C213" s="11">
        <f t="shared" si="12"/>
        <v>8.8000000000000009E-2</v>
      </c>
      <c r="D213">
        <f t="shared" si="13"/>
        <v>1975</v>
      </c>
      <c r="E213" t="str">
        <f t="shared" si="14"/>
        <v>Apr-1975</v>
      </c>
      <c r="F213" s="12">
        <f t="shared" si="15"/>
        <v>6.36</v>
      </c>
    </row>
    <row r="214" spans="1:6" x14ac:dyDescent="0.25">
      <c r="A214" s="1">
        <v>27509</v>
      </c>
      <c r="B214">
        <v>8.84</v>
      </c>
      <c r="C214" s="11">
        <f t="shared" si="12"/>
        <v>8.8399999999999992E-2</v>
      </c>
      <c r="D214">
        <f t="shared" si="13"/>
        <v>1975</v>
      </c>
      <c r="E214" t="str">
        <f t="shared" si="14"/>
        <v>Apr-1975</v>
      </c>
      <c r="F214" s="12">
        <f t="shared" si="15"/>
        <v>6.36</v>
      </c>
    </row>
    <row r="215" spans="1:6" x14ac:dyDescent="0.25">
      <c r="A215" s="1">
        <v>27516</v>
      </c>
      <c r="B215">
        <v>8.92</v>
      </c>
      <c r="C215" s="11">
        <f t="shared" si="12"/>
        <v>8.9200000000000002E-2</v>
      </c>
      <c r="D215">
        <f t="shared" si="13"/>
        <v>1975</v>
      </c>
      <c r="E215" t="str">
        <f t="shared" si="14"/>
        <v>May-1975</v>
      </c>
      <c r="F215" s="12">
        <f t="shared" si="15"/>
        <v>6.36</v>
      </c>
    </row>
    <row r="216" spans="1:6" x14ac:dyDescent="0.25">
      <c r="A216" s="1">
        <v>27523</v>
      </c>
      <c r="B216">
        <v>8.8800000000000008</v>
      </c>
      <c r="C216" s="11">
        <f t="shared" si="12"/>
        <v>8.8800000000000004E-2</v>
      </c>
      <c r="D216">
        <f t="shared" si="13"/>
        <v>1975</v>
      </c>
      <c r="E216" t="str">
        <f t="shared" si="14"/>
        <v>May-1975</v>
      </c>
      <c r="F216" s="12">
        <f t="shared" si="15"/>
        <v>6.36</v>
      </c>
    </row>
    <row r="217" spans="1:6" x14ac:dyDescent="0.25">
      <c r="A217" s="1">
        <v>27530</v>
      </c>
      <c r="B217">
        <v>8.92</v>
      </c>
      <c r="C217" s="11">
        <f t="shared" si="12"/>
        <v>8.9200000000000002E-2</v>
      </c>
      <c r="D217">
        <f t="shared" si="13"/>
        <v>1975</v>
      </c>
      <c r="E217" t="str">
        <f t="shared" si="14"/>
        <v>May-1975</v>
      </c>
      <c r="F217" s="12">
        <f t="shared" si="15"/>
        <v>6.36</v>
      </c>
    </row>
    <row r="218" spans="1:6" x14ac:dyDescent="0.25">
      <c r="A218" s="1">
        <v>27537</v>
      </c>
      <c r="B218">
        <v>8.92</v>
      </c>
      <c r="C218" s="11">
        <f t="shared" si="12"/>
        <v>8.9200000000000002E-2</v>
      </c>
      <c r="D218">
        <f t="shared" si="13"/>
        <v>1975</v>
      </c>
      <c r="E218" t="str">
        <f t="shared" si="14"/>
        <v>May-1975</v>
      </c>
      <c r="F218" s="12">
        <f t="shared" si="15"/>
        <v>6.36</v>
      </c>
    </row>
    <row r="219" spans="1:6" x14ac:dyDescent="0.25">
      <c r="A219" s="1">
        <v>27544</v>
      </c>
      <c r="B219">
        <v>8.89</v>
      </c>
      <c r="C219" s="11">
        <f t="shared" si="12"/>
        <v>8.8900000000000007E-2</v>
      </c>
      <c r="D219">
        <f t="shared" si="13"/>
        <v>1975</v>
      </c>
      <c r="E219" t="str">
        <f t="shared" si="14"/>
        <v>May-1975</v>
      </c>
      <c r="F219" s="12">
        <f t="shared" si="15"/>
        <v>6.36</v>
      </c>
    </row>
    <row r="220" spans="1:6" x14ac:dyDescent="0.25">
      <c r="A220" s="1">
        <v>27551</v>
      </c>
      <c r="B220">
        <v>8.89</v>
      </c>
      <c r="C220" s="11">
        <f t="shared" si="12"/>
        <v>8.8900000000000007E-2</v>
      </c>
      <c r="D220">
        <f t="shared" si="13"/>
        <v>1975</v>
      </c>
      <c r="E220" t="str">
        <f t="shared" si="14"/>
        <v>Jun-1975</v>
      </c>
      <c r="F220" s="12">
        <f t="shared" si="15"/>
        <v>6.36</v>
      </c>
    </row>
    <row r="221" spans="1:6" x14ac:dyDescent="0.25">
      <c r="A221" s="1">
        <v>27558</v>
      </c>
      <c r="B221">
        <v>8.9</v>
      </c>
      <c r="C221" s="11">
        <f t="shared" si="12"/>
        <v>8.900000000000001E-2</v>
      </c>
      <c r="D221">
        <f t="shared" si="13"/>
        <v>1975</v>
      </c>
      <c r="E221" t="str">
        <f t="shared" si="14"/>
        <v>Jun-1975</v>
      </c>
      <c r="F221" s="12">
        <f t="shared" si="15"/>
        <v>6.36</v>
      </c>
    </row>
    <row r="222" spans="1:6" x14ac:dyDescent="0.25">
      <c r="A222" s="1">
        <v>27565</v>
      </c>
      <c r="B222">
        <v>8.8800000000000008</v>
      </c>
      <c r="C222" s="11">
        <f t="shared" si="12"/>
        <v>8.8800000000000004E-2</v>
      </c>
      <c r="D222">
        <f t="shared" si="13"/>
        <v>1975</v>
      </c>
      <c r="E222" t="str">
        <f t="shared" si="14"/>
        <v>Jun-1975</v>
      </c>
      <c r="F222" s="12">
        <f t="shared" si="15"/>
        <v>6.36</v>
      </c>
    </row>
    <row r="223" spans="1:6" x14ac:dyDescent="0.25">
      <c r="A223" s="1">
        <v>27572</v>
      </c>
      <c r="B223">
        <v>8.9</v>
      </c>
      <c r="C223" s="11">
        <f t="shared" si="12"/>
        <v>8.900000000000001E-2</v>
      </c>
      <c r="D223">
        <f t="shared" si="13"/>
        <v>1975</v>
      </c>
      <c r="E223" t="str">
        <f t="shared" si="14"/>
        <v>Jun-1975</v>
      </c>
      <c r="F223" s="12">
        <f t="shared" si="15"/>
        <v>6.36</v>
      </c>
    </row>
    <row r="224" spans="1:6" x14ac:dyDescent="0.25">
      <c r="A224" s="1">
        <v>27578</v>
      </c>
      <c r="B224">
        <v>8.8800000000000008</v>
      </c>
      <c r="C224" s="11">
        <f t="shared" si="12"/>
        <v>8.8800000000000004E-2</v>
      </c>
      <c r="D224">
        <f t="shared" si="13"/>
        <v>1975</v>
      </c>
      <c r="E224" t="str">
        <f t="shared" si="14"/>
        <v>Jul-1975</v>
      </c>
      <c r="F224" s="12">
        <f t="shared" si="15"/>
        <v>6.36</v>
      </c>
    </row>
    <row r="225" spans="1:6" x14ac:dyDescent="0.25">
      <c r="A225" s="1">
        <v>27586</v>
      </c>
      <c r="B225">
        <v>8.9</v>
      </c>
      <c r="C225" s="11">
        <f t="shared" si="12"/>
        <v>8.900000000000001E-2</v>
      </c>
      <c r="D225">
        <f t="shared" si="13"/>
        <v>1975</v>
      </c>
      <c r="E225" t="str">
        <f t="shared" si="14"/>
        <v>Jul-1975</v>
      </c>
      <c r="F225" s="12">
        <f t="shared" si="15"/>
        <v>6.36</v>
      </c>
    </row>
    <row r="226" spans="1:6" x14ac:dyDescent="0.25">
      <c r="A226" s="1">
        <v>27593</v>
      </c>
      <c r="B226">
        <v>8.89</v>
      </c>
      <c r="C226" s="11">
        <f t="shared" si="12"/>
        <v>8.8900000000000007E-2</v>
      </c>
      <c r="D226">
        <f t="shared" si="13"/>
        <v>1975</v>
      </c>
      <c r="E226" t="str">
        <f t="shared" si="14"/>
        <v>Jul-1975</v>
      </c>
      <c r="F226" s="12">
        <f t="shared" si="15"/>
        <v>6.36</v>
      </c>
    </row>
    <row r="227" spans="1:6" x14ac:dyDescent="0.25">
      <c r="A227" s="1">
        <v>27600</v>
      </c>
      <c r="B227">
        <v>8.89</v>
      </c>
      <c r="C227" s="11">
        <f t="shared" si="12"/>
        <v>8.8900000000000007E-2</v>
      </c>
      <c r="D227">
        <f t="shared" si="13"/>
        <v>1975</v>
      </c>
      <c r="E227" t="str">
        <f t="shared" si="14"/>
        <v>Jul-1975</v>
      </c>
      <c r="F227" s="12">
        <f t="shared" si="15"/>
        <v>6.36</v>
      </c>
    </row>
    <row r="228" spans="1:6" x14ac:dyDescent="0.25">
      <c r="A228" s="1">
        <v>27607</v>
      </c>
      <c r="B228">
        <v>8.89</v>
      </c>
      <c r="C228" s="11">
        <f t="shared" si="12"/>
        <v>8.8900000000000007E-2</v>
      </c>
      <c r="D228">
        <f t="shared" si="13"/>
        <v>1975</v>
      </c>
      <c r="E228" t="str">
        <f t="shared" si="14"/>
        <v>Aug-1975</v>
      </c>
      <c r="F228" s="12">
        <f t="shared" si="15"/>
        <v>6.36</v>
      </c>
    </row>
    <row r="229" spans="1:6" x14ac:dyDescent="0.25">
      <c r="A229" s="1">
        <v>27614</v>
      </c>
      <c r="B229">
        <v>8.89</v>
      </c>
      <c r="C229" s="11">
        <f t="shared" si="12"/>
        <v>8.8900000000000007E-2</v>
      </c>
      <c r="D229">
        <f t="shared" si="13"/>
        <v>1975</v>
      </c>
      <c r="E229" t="str">
        <f t="shared" si="14"/>
        <v>Aug-1975</v>
      </c>
      <c r="F229" s="12">
        <f t="shared" si="15"/>
        <v>6.36</v>
      </c>
    </row>
    <row r="230" spans="1:6" x14ac:dyDescent="0.25">
      <c r="A230" s="1">
        <v>27621</v>
      </c>
      <c r="B230">
        <v>8.93</v>
      </c>
      <c r="C230" s="11">
        <f t="shared" si="12"/>
        <v>8.929999999999999E-2</v>
      </c>
      <c r="D230">
        <f t="shared" si="13"/>
        <v>1975</v>
      </c>
      <c r="E230" t="str">
        <f t="shared" si="14"/>
        <v>Aug-1975</v>
      </c>
      <c r="F230" s="12">
        <f t="shared" si="15"/>
        <v>6.36</v>
      </c>
    </row>
    <row r="231" spans="1:6" x14ac:dyDescent="0.25">
      <c r="A231" s="1">
        <v>27628</v>
      </c>
      <c r="B231">
        <v>8.98</v>
      </c>
      <c r="C231" s="11">
        <f t="shared" si="12"/>
        <v>8.9800000000000005E-2</v>
      </c>
      <c r="D231">
        <f t="shared" si="13"/>
        <v>1975</v>
      </c>
      <c r="E231" t="str">
        <f t="shared" si="14"/>
        <v>Aug-1975</v>
      </c>
      <c r="F231" s="12">
        <f t="shared" si="15"/>
        <v>6.36</v>
      </c>
    </row>
    <row r="232" spans="1:6" x14ac:dyDescent="0.25">
      <c r="A232" s="1">
        <v>27635</v>
      </c>
      <c r="B232">
        <v>9.02</v>
      </c>
      <c r="C232" s="11">
        <f t="shared" si="12"/>
        <v>9.0200000000000002E-2</v>
      </c>
      <c r="D232">
        <f t="shared" si="13"/>
        <v>1975</v>
      </c>
      <c r="E232" t="str">
        <f t="shared" si="14"/>
        <v>Aug-1975</v>
      </c>
      <c r="F232" s="12">
        <f t="shared" si="15"/>
        <v>6.36</v>
      </c>
    </row>
    <row r="233" spans="1:6" x14ac:dyDescent="0.25">
      <c r="A233" s="1">
        <v>27642</v>
      </c>
      <c r="B233">
        <v>9.08</v>
      </c>
      <c r="C233" s="11">
        <f t="shared" si="12"/>
        <v>9.0800000000000006E-2</v>
      </c>
      <c r="D233">
        <f t="shared" si="13"/>
        <v>1975</v>
      </c>
      <c r="E233" t="str">
        <f t="shared" si="14"/>
        <v>Sep-1975</v>
      </c>
      <c r="F233" s="12">
        <f t="shared" si="15"/>
        <v>6.36</v>
      </c>
    </row>
    <row r="234" spans="1:6" x14ac:dyDescent="0.25">
      <c r="A234" s="1">
        <v>27649</v>
      </c>
      <c r="B234">
        <v>9.16</v>
      </c>
      <c r="C234" s="11">
        <f t="shared" si="12"/>
        <v>9.1600000000000001E-2</v>
      </c>
      <c r="D234">
        <f t="shared" si="13"/>
        <v>1975</v>
      </c>
      <c r="E234" t="str">
        <f t="shared" si="14"/>
        <v>Sep-1975</v>
      </c>
      <c r="F234" s="12">
        <f t="shared" si="15"/>
        <v>6.36</v>
      </c>
    </row>
    <row r="235" spans="1:6" x14ac:dyDescent="0.25">
      <c r="A235" s="1">
        <v>27656</v>
      </c>
      <c r="B235">
        <v>9.14</v>
      </c>
      <c r="C235" s="11">
        <f t="shared" si="12"/>
        <v>9.1400000000000009E-2</v>
      </c>
      <c r="D235">
        <f t="shared" si="13"/>
        <v>1975</v>
      </c>
      <c r="E235" t="str">
        <f t="shared" si="14"/>
        <v>Sep-1975</v>
      </c>
      <c r="F235" s="12">
        <f t="shared" si="15"/>
        <v>6.36</v>
      </c>
    </row>
    <row r="236" spans="1:6" x14ac:dyDescent="0.25">
      <c r="A236" s="1">
        <v>27663</v>
      </c>
      <c r="B236">
        <v>9.14</v>
      </c>
      <c r="C236" s="11">
        <f t="shared" si="12"/>
        <v>9.1400000000000009E-2</v>
      </c>
      <c r="D236">
        <f t="shared" si="13"/>
        <v>1975</v>
      </c>
      <c r="E236" t="str">
        <f t="shared" si="14"/>
        <v>Sep-1975</v>
      </c>
      <c r="F236" s="12">
        <f t="shared" si="15"/>
        <v>6.36</v>
      </c>
    </row>
    <row r="237" spans="1:6" x14ac:dyDescent="0.25">
      <c r="A237" s="1">
        <v>27670</v>
      </c>
      <c r="B237">
        <v>9.1999999999999993</v>
      </c>
      <c r="C237" s="11">
        <f t="shared" si="12"/>
        <v>9.1999999999999998E-2</v>
      </c>
      <c r="D237">
        <f t="shared" si="13"/>
        <v>1975</v>
      </c>
      <c r="E237" t="str">
        <f t="shared" si="14"/>
        <v>Oct-1975</v>
      </c>
      <c r="F237" s="12">
        <f t="shared" si="15"/>
        <v>6.36</v>
      </c>
    </row>
    <row r="238" spans="1:6" x14ac:dyDescent="0.25">
      <c r="A238" s="1">
        <v>27677</v>
      </c>
      <c r="B238">
        <v>9.2100000000000009</v>
      </c>
      <c r="C238" s="11">
        <f t="shared" si="12"/>
        <v>9.2100000000000015E-2</v>
      </c>
      <c r="D238">
        <f t="shared" si="13"/>
        <v>1975</v>
      </c>
      <c r="E238" t="str">
        <f t="shared" si="14"/>
        <v>Oct-1975</v>
      </c>
      <c r="F238" s="12">
        <f t="shared" si="15"/>
        <v>6.36</v>
      </c>
    </row>
    <row r="239" spans="1:6" x14ac:dyDescent="0.25">
      <c r="A239" s="1">
        <v>27684</v>
      </c>
      <c r="B239">
        <v>9.2100000000000009</v>
      </c>
      <c r="C239" s="11">
        <f t="shared" si="12"/>
        <v>9.2100000000000015E-2</v>
      </c>
      <c r="D239">
        <f t="shared" si="13"/>
        <v>1975</v>
      </c>
      <c r="E239" t="str">
        <f t="shared" si="14"/>
        <v>Oct-1975</v>
      </c>
      <c r="F239" s="12">
        <f t="shared" si="15"/>
        <v>6.36</v>
      </c>
    </row>
    <row r="240" spans="1:6" x14ac:dyDescent="0.25">
      <c r="A240" s="1">
        <v>27691</v>
      </c>
      <c r="B240">
        <v>9.26</v>
      </c>
      <c r="C240" s="11">
        <f t="shared" si="12"/>
        <v>9.2600000000000002E-2</v>
      </c>
      <c r="D240">
        <f t="shared" si="13"/>
        <v>1975</v>
      </c>
      <c r="E240" t="str">
        <f t="shared" si="14"/>
        <v>Oct-1975</v>
      </c>
      <c r="F240" s="12">
        <f t="shared" si="15"/>
        <v>6.36</v>
      </c>
    </row>
    <row r="241" spans="1:6" x14ac:dyDescent="0.25">
      <c r="A241" s="1">
        <v>27698</v>
      </c>
      <c r="B241">
        <v>9.24</v>
      </c>
      <c r="C241" s="11">
        <f t="shared" si="12"/>
        <v>9.2399999999999996E-2</v>
      </c>
      <c r="D241">
        <f t="shared" si="13"/>
        <v>1975</v>
      </c>
      <c r="E241" t="str">
        <f t="shared" si="14"/>
        <v>Oct-1975</v>
      </c>
      <c r="F241" s="12">
        <f t="shared" si="15"/>
        <v>6.36</v>
      </c>
    </row>
    <row r="242" spans="1:6" x14ac:dyDescent="0.25">
      <c r="A242" s="1">
        <v>27705</v>
      </c>
      <c r="B242">
        <v>9.19</v>
      </c>
      <c r="C242" s="11">
        <f t="shared" si="12"/>
        <v>9.1899999999999996E-2</v>
      </c>
      <c r="D242">
        <f t="shared" si="13"/>
        <v>1975</v>
      </c>
      <c r="E242" t="str">
        <f t="shared" si="14"/>
        <v>Nov-1975</v>
      </c>
      <c r="F242" s="12">
        <f t="shared" si="15"/>
        <v>6.36</v>
      </c>
    </row>
    <row r="243" spans="1:6" x14ac:dyDescent="0.25">
      <c r="A243" s="1">
        <v>27712</v>
      </c>
      <c r="B243">
        <v>9.16</v>
      </c>
      <c r="C243" s="11">
        <f t="shared" si="12"/>
        <v>9.1600000000000001E-2</v>
      </c>
      <c r="D243">
        <f t="shared" si="13"/>
        <v>1975</v>
      </c>
      <c r="E243" t="str">
        <f t="shared" si="14"/>
        <v>Nov-1975</v>
      </c>
      <c r="F243" s="12">
        <f t="shared" si="15"/>
        <v>6.36</v>
      </c>
    </row>
    <row r="244" spans="1:6" x14ac:dyDescent="0.25">
      <c r="A244" s="1">
        <v>27719</v>
      </c>
      <c r="B244">
        <v>9.1199999999999992</v>
      </c>
      <c r="C244" s="11">
        <f t="shared" si="12"/>
        <v>9.1199999999999989E-2</v>
      </c>
      <c r="D244">
        <f t="shared" si="13"/>
        <v>1975</v>
      </c>
      <c r="E244" t="str">
        <f t="shared" si="14"/>
        <v>Nov-1975</v>
      </c>
      <c r="F244" s="12">
        <f t="shared" si="15"/>
        <v>6.36</v>
      </c>
    </row>
    <row r="245" spans="1:6" x14ac:dyDescent="0.25">
      <c r="A245" s="1">
        <v>27726</v>
      </c>
      <c r="B245">
        <v>9.11</v>
      </c>
      <c r="C245" s="11">
        <f t="shared" si="12"/>
        <v>9.11E-2</v>
      </c>
      <c r="D245">
        <f t="shared" si="13"/>
        <v>1975</v>
      </c>
      <c r="E245" t="str">
        <f t="shared" si="14"/>
        <v>Nov-1975</v>
      </c>
      <c r="F245" s="12">
        <f t="shared" si="15"/>
        <v>6.36</v>
      </c>
    </row>
    <row r="246" spans="1:6" x14ac:dyDescent="0.25">
      <c r="A246" s="1">
        <v>27733</v>
      </c>
      <c r="B246">
        <v>9.11</v>
      </c>
      <c r="C246" s="11">
        <f t="shared" si="12"/>
        <v>9.11E-2</v>
      </c>
      <c r="D246">
        <f t="shared" si="13"/>
        <v>1975</v>
      </c>
      <c r="E246" t="str">
        <f t="shared" si="14"/>
        <v>Dec-1975</v>
      </c>
      <c r="F246" s="12">
        <f t="shared" si="15"/>
        <v>6.36</v>
      </c>
    </row>
    <row r="247" spans="1:6" x14ac:dyDescent="0.25">
      <c r="A247" s="1">
        <v>27740</v>
      </c>
      <c r="B247">
        <v>9.11</v>
      </c>
      <c r="C247" s="11">
        <f t="shared" si="12"/>
        <v>9.11E-2</v>
      </c>
      <c r="D247">
        <f t="shared" si="13"/>
        <v>1975</v>
      </c>
      <c r="E247" t="str">
        <f t="shared" si="14"/>
        <v>Dec-1975</v>
      </c>
      <c r="F247" s="12">
        <f t="shared" si="15"/>
        <v>6.36</v>
      </c>
    </row>
    <row r="248" spans="1:6" x14ac:dyDescent="0.25">
      <c r="A248" s="1">
        <v>27747</v>
      </c>
      <c r="B248">
        <v>9.08</v>
      </c>
      <c r="C248" s="11">
        <f t="shared" si="12"/>
        <v>9.0800000000000006E-2</v>
      </c>
      <c r="D248">
        <f t="shared" si="13"/>
        <v>1975</v>
      </c>
      <c r="E248" t="str">
        <f t="shared" si="14"/>
        <v>Dec-1975</v>
      </c>
      <c r="F248" s="12">
        <f t="shared" si="15"/>
        <v>6.36</v>
      </c>
    </row>
    <row r="249" spans="1:6" x14ac:dyDescent="0.25">
      <c r="A249" s="1">
        <v>27754</v>
      </c>
      <c r="B249">
        <v>9.09</v>
      </c>
      <c r="C249" s="11">
        <f t="shared" si="12"/>
        <v>9.0899999999999995E-2</v>
      </c>
      <c r="D249">
        <f t="shared" si="13"/>
        <v>1975</v>
      </c>
      <c r="E249" t="str">
        <f t="shared" si="14"/>
        <v>Dec-1975</v>
      </c>
      <c r="F249" s="12">
        <f t="shared" si="15"/>
        <v>6.36</v>
      </c>
    </row>
    <row r="250" spans="1:6" x14ac:dyDescent="0.25">
      <c r="A250" s="1">
        <v>27761</v>
      </c>
      <c r="B250">
        <v>9.1</v>
      </c>
      <c r="C250" s="11">
        <f t="shared" si="12"/>
        <v>9.0999999999999998E-2</v>
      </c>
      <c r="D250">
        <f t="shared" si="13"/>
        <v>1976</v>
      </c>
      <c r="E250" t="str">
        <f t="shared" si="14"/>
        <v>Jan-1976</v>
      </c>
      <c r="F250" s="12">
        <f t="shared" si="15"/>
        <v>6.36</v>
      </c>
    </row>
    <row r="251" spans="1:6" x14ac:dyDescent="0.25">
      <c r="A251" s="1">
        <v>27768</v>
      </c>
      <c r="B251">
        <v>9.07</v>
      </c>
      <c r="C251" s="11">
        <f t="shared" si="12"/>
        <v>9.0700000000000003E-2</v>
      </c>
      <c r="D251">
        <f t="shared" si="13"/>
        <v>1976</v>
      </c>
      <c r="E251" t="str">
        <f t="shared" si="14"/>
        <v>Jan-1976</v>
      </c>
      <c r="F251" s="12">
        <f t="shared" si="15"/>
        <v>6.36</v>
      </c>
    </row>
    <row r="252" spans="1:6" x14ac:dyDescent="0.25">
      <c r="A252" s="1">
        <v>27775</v>
      </c>
      <c r="B252">
        <v>9.01</v>
      </c>
      <c r="C252" s="11">
        <f t="shared" si="12"/>
        <v>9.01E-2</v>
      </c>
      <c r="D252">
        <f t="shared" si="13"/>
        <v>1976</v>
      </c>
      <c r="E252" t="str">
        <f t="shared" si="14"/>
        <v>Jan-1976</v>
      </c>
      <c r="F252" s="12">
        <f t="shared" si="15"/>
        <v>6.36</v>
      </c>
    </row>
    <row r="253" spans="1:6" x14ac:dyDescent="0.25">
      <c r="A253" s="1">
        <v>27782</v>
      </c>
      <c r="B253">
        <v>9</v>
      </c>
      <c r="C253" s="11">
        <f t="shared" si="12"/>
        <v>0.09</v>
      </c>
      <c r="D253">
        <f t="shared" si="13"/>
        <v>1976</v>
      </c>
      <c r="E253" t="str">
        <f t="shared" si="14"/>
        <v>Jan-1976</v>
      </c>
      <c r="F253" s="12">
        <f t="shared" si="15"/>
        <v>6.36</v>
      </c>
    </row>
    <row r="254" spans="1:6" x14ac:dyDescent="0.25">
      <c r="A254" s="1">
        <v>27789</v>
      </c>
      <c r="B254">
        <v>8.9</v>
      </c>
      <c r="C254" s="11">
        <f t="shared" si="12"/>
        <v>8.900000000000001E-2</v>
      </c>
      <c r="D254">
        <f t="shared" si="13"/>
        <v>1976</v>
      </c>
      <c r="E254" t="str">
        <f t="shared" si="14"/>
        <v>Jan-1976</v>
      </c>
      <c r="F254" s="12">
        <f t="shared" si="15"/>
        <v>6.36</v>
      </c>
    </row>
    <row r="255" spans="1:6" x14ac:dyDescent="0.25">
      <c r="A255" s="1">
        <v>27796</v>
      </c>
      <c r="B255">
        <v>8.86</v>
      </c>
      <c r="C255" s="11">
        <f t="shared" si="12"/>
        <v>8.8599999999999998E-2</v>
      </c>
      <c r="D255">
        <f t="shared" si="13"/>
        <v>1976</v>
      </c>
      <c r="E255" t="str">
        <f t="shared" si="14"/>
        <v>Feb-1976</v>
      </c>
      <c r="F255" s="12">
        <f t="shared" si="15"/>
        <v>6.36</v>
      </c>
    </row>
    <row r="256" spans="1:6" x14ac:dyDescent="0.25">
      <c r="A256" s="1">
        <v>27803</v>
      </c>
      <c r="B256">
        <v>8.83</v>
      </c>
      <c r="C256" s="11">
        <f t="shared" si="12"/>
        <v>8.8300000000000003E-2</v>
      </c>
      <c r="D256">
        <f t="shared" si="13"/>
        <v>1976</v>
      </c>
      <c r="E256" t="str">
        <f t="shared" si="14"/>
        <v>Feb-1976</v>
      </c>
      <c r="F256" s="12">
        <f t="shared" si="15"/>
        <v>6.36</v>
      </c>
    </row>
    <row r="257" spans="1:6" x14ac:dyDescent="0.25">
      <c r="A257" s="1">
        <v>27810</v>
      </c>
      <c r="B257">
        <v>8.81</v>
      </c>
      <c r="C257" s="11">
        <f t="shared" si="12"/>
        <v>8.8100000000000012E-2</v>
      </c>
      <c r="D257">
        <f t="shared" si="13"/>
        <v>1976</v>
      </c>
      <c r="E257" t="str">
        <f t="shared" si="14"/>
        <v>Feb-1976</v>
      </c>
      <c r="F257" s="12">
        <f t="shared" si="15"/>
        <v>6.36</v>
      </c>
    </row>
    <row r="258" spans="1:6" x14ac:dyDescent="0.25">
      <c r="A258" s="1">
        <v>27817</v>
      </c>
      <c r="B258">
        <v>8.75</v>
      </c>
      <c r="C258" s="11">
        <f t="shared" ref="C258:C321" si="16">B258/100</f>
        <v>8.7499999999999994E-2</v>
      </c>
      <c r="D258">
        <f t="shared" ref="D258:D321" si="17">YEAR(A258)</f>
        <v>1976</v>
      </c>
      <c r="E258" t="str">
        <f t="shared" ref="E258:E321" si="18">TEXT(A258,"MMM-YYYY")</f>
        <v>Feb-1976</v>
      </c>
      <c r="F258" s="12">
        <f t="shared" ref="F258:F321" si="19">$H$2</f>
        <v>6.36</v>
      </c>
    </row>
    <row r="259" spans="1:6" x14ac:dyDescent="0.25">
      <c r="A259" s="1">
        <v>27824</v>
      </c>
      <c r="B259">
        <v>8.77</v>
      </c>
      <c r="C259" s="11">
        <f t="shared" si="16"/>
        <v>8.77E-2</v>
      </c>
      <c r="D259">
        <f t="shared" si="17"/>
        <v>1976</v>
      </c>
      <c r="E259" t="str">
        <f t="shared" si="18"/>
        <v>Mar-1976</v>
      </c>
      <c r="F259" s="12">
        <f t="shared" si="19"/>
        <v>6.36</v>
      </c>
    </row>
    <row r="260" spans="1:6" x14ac:dyDescent="0.25">
      <c r="A260" s="1">
        <v>27831</v>
      </c>
      <c r="B260">
        <v>8.75</v>
      </c>
      <c r="C260" s="11">
        <f t="shared" si="16"/>
        <v>8.7499999999999994E-2</v>
      </c>
      <c r="D260">
        <f t="shared" si="17"/>
        <v>1976</v>
      </c>
      <c r="E260" t="str">
        <f t="shared" si="18"/>
        <v>Mar-1976</v>
      </c>
      <c r="F260" s="12">
        <f t="shared" si="19"/>
        <v>6.36</v>
      </c>
    </row>
    <row r="261" spans="1:6" x14ac:dyDescent="0.25">
      <c r="A261" s="1">
        <v>27838</v>
      </c>
      <c r="B261">
        <v>8.75</v>
      </c>
      <c r="C261" s="11">
        <f t="shared" si="16"/>
        <v>8.7499999999999994E-2</v>
      </c>
      <c r="D261">
        <f t="shared" si="17"/>
        <v>1976</v>
      </c>
      <c r="E261" t="str">
        <f t="shared" si="18"/>
        <v>Mar-1976</v>
      </c>
      <c r="F261" s="12">
        <f t="shared" si="19"/>
        <v>6.36</v>
      </c>
    </row>
    <row r="262" spans="1:6" x14ac:dyDescent="0.25">
      <c r="A262" s="1">
        <v>27845</v>
      </c>
      <c r="B262">
        <v>8.75</v>
      </c>
      <c r="C262" s="11">
        <f t="shared" si="16"/>
        <v>8.7499999999999994E-2</v>
      </c>
      <c r="D262">
        <f t="shared" si="17"/>
        <v>1976</v>
      </c>
      <c r="E262" t="str">
        <f t="shared" si="18"/>
        <v>Mar-1976</v>
      </c>
      <c r="F262" s="12">
        <f t="shared" si="19"/>
        <v>6.36</v>
      </c>
    </row>
    <row r="263" spans="1:6" x14ac:dyDescent="0.25">
      <c r="A263" s="1">
        <v>27852</v>
      </c>
      <c r="B263">
        <v>8.6999999999999993</v>
      </c>
      <c r="C263" s="11">
        <f t="shared" si="16"/>
        <v>8.6999999999999994E-2</v>
      </c>
      <c r="D263">
        <f t="shared" si="17"/>
        <v>1976</v>
      </c>
      <c r="E263" t="str">
        <f t="shared" si="18"/>
        <v>Apr-1976</v>
      </c>
      <c r="F263" s="12">
        <f t="shared" si="19"/>
        <v>6.36</v>
      </c>
    </row>
    <row r="264" spans="1:6" x14ac:dyDescent="0.25">
      <c r="A264" s="1">
        <v>27859</v>
      </c>
      <c r="B264">
        <v>8.6999999999999993</v>
      </c>
      <c r="C264" s="11">
        <f t="shared" si="16"/>
        <v>8.6999999999999994E-2</v>
      </c>
      <c r="D264">
        <f t="shared" si="17"/>
        <v>1976</v>
      </c>
      <c r="E264" t="str">
        <f t="shared" si="18"/>
        <v>Apr-1976</v>
      </c>
      <c r="F264" s="12">
        <f t="shared" si="19"/>
        <v>6.36</v>
      </c>
    </row>
    <row r="265" spans="1:6" x14ac:dyDescent="0.25">
      <c r="A265" s="1">
        <v>27866</v>
      </c>
      <c r="B265">
        <v>8.75</v>
      </c>
      <c r="C265" s="11">
        <f t="shared" si="16"/>
        <v>8.7499999999999994E-2</v>
      </c>
      <c r="D265">
        <f t="shared" si="17"/>
        <v>1976</v>
      </c>
      <c r="E265" t="str">
        <f t="shared" si="18"/>
        <v>Apr-1976</v>
      </c>
      <c r="F265" s="12">
        <f t="shared" si="19"/>
        <v>6.36</v>
      </c>
    </row>
    <row r="266" spans="1:6" x14ac:dyDescent="0.25">
      <c r="A266" s="1">
        <v>27873</v>
      </c>
      <c r="B266">
        <v>8.75</v>
      </c>
      <c r="C266" s="11">
        <f t="shared" si="16"/>
        <v>8.7499999999999994E-2</v>
      </c>
      <c r="D266">
        <f t="shared" si="17"/>
        <v>1976</v>
      </c>
      <c r="E266" t="str">
        <f t="shared" si="18"/>
        <v>Apr-1976</v>
      </c>
      <c r="F266" s="12">
        <f t="shared" si="19"/>
        <v>6.36</v>
      </c>
    </row>
    <row r="267" spans="1:6" x14ac:dyDescent="0.25">
      <c r="A267" s="1">
        <v>27880</v>
      </c>
      <c r="B267">
        <v>8.75</v>
      </c>
      <c r="C267" s="11">
        <f t="shared" si="16"/>
        <v>8.7499999999999994E-2</v>
      </c>
      <c r="D267">
        <f t="shared" si="17"/>
        <v>1976</v>
      </c>
      <c r="E267" t="str">
        <f t="shared" si="18"/>
        <v>Apr-1976</v>
      </c>
      <c r="F267" s="12">
        <f t="shared" si="19"/>
        <v>6.36</v>
      </c>
    </row>
    <row r="268" spans="1:6" x14ac:dyDescent="0.25">
      <c r="A268" s="1">
        <v>27887</v>
      </c>
      <c r="B268">
        <v>8.75</v>
      </c>
      <c r="C268" s="11">
        <f t="shared" si="16"/>
        <v>8.7499999999999994E-2</v>
      </c>
      <c r="D268">
        <f t="shared" si="17"/>
        <v>1976</v>
      </c>
      <c r="E268" t="str">
        <f t="shared" si="18"/>
        <v>May-1976</v>
      </c>
      <c r="F268" s="12">
        <f t="shared" si="19"/>
        <v>6.36</v>
      </c>
    </row>
    <row r="269" spans="1:6" x14ac:dyDescent="0.25">
      <c r="A269" s="1">
        <v>27894</v>
      </c>
      <c r="B269">
        <v>8.75</v>
      </c>
      <c r="C269" s="11">
        <f t="shared" si="16"/>
        <v>8.7499999999999994E-2</v>
      </c>
      <c r="D269">
        <f t="shared" si="17"/>
        <v>1976</v>
      </c>
      <c r="E269" t="str">
        <f t="shared" si="18"/>
        <v>May-1976</v>
      </c>
      <c r="F269" s="12">
        <f t="shared" si="19"/>
        <v>6.36</v>
      </c>
    </row>
    <row r="270" spans="1:6" x14ac:dyDescent="0.25">
      <c r="A270" s="1">
        <v>27901</v>
      </c>
      <c r="B270">
        <v>8.7799999999999994</v>
      </c>
      <c r="C270" s="11">
        <f t="shared" si="16"/>
        <v>8.7799999999999989E-2</v>
      </c>
      <c r="D270">
        <f t="shared" si="17"/>
        <v>1976</v>
      </c>
      <c r="E270" t="str">
        <f t="shared" si="18"/>
        <v>May-1976</v>
      </c>
      <c r="F270" s="12">
        <f t="shared" si="19"/>
        <v>6.36</v>
      </c>
    </row>
    <row r="271" spans="1:6" x14ac:dyDescent="0.25">
      <c r="A271" s="1">
        <v>27908</v>
      </c>
      <c r="B271">
        <v>8.7799999999999994</v>
      </c>
      <c r="C271" s="11">
        <f t="shared" si="16"/>
        <v>8.7799999999999989E-2</v>
      </c>
      <c r="D271">
        <f t="shared" si="17"/>
        <v>1976</v>
      </c>
      <c r="E271" t="str">
        <f t="shared" si="18"/>
        <v>May-1976</v>
      </c>
      <c r="F271" s="12">
        <f t="shared" si="19"/>
        <v>6.36</v>
      </c>
    </row>
    <row r="272" spans="1:6" x14ac:dyDescent="0.25">
      <c r="A272" s="1">
        <v>27915</v>
      </c>
      <c r="B272">
        <v>8.7799999999999994</v>
      </c>
      <c r="C272" s="11">
        <f t="shared" si="16"/>
        <v>8.7799999999999989E-2</v>
      </c>
      <c r="D272">
        <f t="shared" si="17"/>
        <v>1976</v>
      </c>
      <c r="E272" t="str">
        <f t="shared" si="18"/>
        <v>Jun-1976</v>
      </c>
      <c r="F272" s="12">
        <f t="shared" si="19"/>
        <v>6.36</v>
      </c>
    </row>
    <row r="273" spans="1:6" x14ac:dyDescent="0.25">
      <c r="A273" s="1">
        <v>27922</v>
      </c>
      <c r="B273">
        <v>8.83</v>
      </c>
      <c r="C273" s="11">
        <f t="shared" si="16"/>
        <v>8.8300000000000003E-2</v>
      </c>
      <c r="D273">
        <f t="shared" si="17"/>
        <v>1976</v>
      </c>
      <c r="E273" t="str">
        <f t="shared" si="18"/>
        <v>Jun-1976</v>
      </c>
      <c r="F273" s="12">
        <f t="shared" si="19"/>
        <v>6.36</v>
      </c>
    </row>
    <row r="274" spans="1:6" x14ac:dyDescent="0.25">
      <c r="A274" s="1">
        <v>27929</v>
      </c>
      <c r="B274">
        <v>8.8800000000000008</v>
      </c>
      <c r="C274" s="11">
        <f t="shared" si="16"/>
        <v>8.8800000000000004E-2</v>
      </c>
      <c r="D274">
        <f t="shared" si="17"/>
        <v>1976</v>
      </c>
      <c r="E274" t="str">
        <f t="shared" si="18"/>
        <v>Jun-1976</v>
      </c>
      <c r="F274" s="12">
        <f t="shared" si="19"/>
        <v>6.36</v>
      </c>
    </row>
    <row r="275" spans="1:6" x14ac:dyDescent="0.25">
      <c r="A275" s="1">
        <v>27936</v>
      </c>
      <c r="B275">
        <v>8.9</v>
      </c>
      <c r="C275" s="11">
        <f t="shared" si="16"/>
        <v>8.900000000000001E-2</v>
      </c>
      <c r="D275">
        <f t="shared" si="17"/>
        <v>1976</v>
      </c>
      <c r="E275" t="str">
        <f t="shared" si="18"/>
        <v>Jun-1976</v>
      </c>
      <c r="F275" s="12">
        <f t="shared" si="19"/>
        <v>6.36</v>
      </c>
    </row>
    <row r="276" spans="1:6" x14ac:dyDescent="0.25">
      <c r="A276" s="1">
        <v>27943</v>
      </c>
      <c r="B276">
        <v>8.93</v>
      </c>
      <c r="C276" s="11">
        <f t="shared" si="16"/>
        <v>8.929999999999999E-2</v>
      </c>
      <c r="D276">
        <f t="shared" si="17"/>
        <v>1976</v>
      </c>
      <c r="E276" t="str">
        <f t="shared" si="18"/>
        <v>Jul-1976</v>
      </c>
      <c r="F276" s="12">
        <f t="shared" si="19"/>
        <v>6.36</v>
      </c>
    </row>
    <row r="277" spans="1:6" x14ac:dyDescent="0.25">
      <c r="A277" s="1">
        <v>27950</v>
      </c>
      <c r="B277">
        <v>8.93</v>
      </c>
      <c r="C277" s="11">
        <f t="shared" si="16"/>
        <v>8.929999999999999E-2</v>
      </c>
      <c r="D277">
        <f t="shared" si="17"/>
        <v>1976</v>
      </c>
      <c r="E277" t="str">
        <f t="shared" si="18"/>
        <v>Jul-1976</v>
      </c>
      <c r="F277" s="12">
        <f t="shared" si="19"/>
        <v>6.36</v>
      </c>
    </row>
    <row r="278" spans="1:6" x14ac:dyDescent="0.25">
      <c r="A278" s="1">
        <v>27957</v>
      </c>
      <c r="B278">
        <v>8.93</v>
      </c>
      <c r="C278" s="11">
        <f t="shared" si="16"/>
        <v>8.929999999999999E-2</v>
      </c>
      <c r="D278">
        <f t="shared" si="17"/>
        <v>1976</v>
      </c>
      <c r="E278" t="str">
        <f t="shared" si="18"/>
        <v>Jul-1976</v>
      </c>
      <c r="F278" s="12">
        <f t="shared" si="19"/>
        <v>6.36</v>
      </c>
    </row>
    <row r="279" spans="1:6" x14ac:dyDescent="0.25">
      <c r="A279" s="1">
        <v>27964</v>
      </c>
      <c r="B279">
        <v>8.9</v>
      </c>
      <c r="C279" s="11">
        <f t="shared" si="16"/>
        <v>8.900000000000001E-2</v>
      </c>
      <c r="D279">
        <f t="shared" si="17"/>
        <v>1976</v>
      </c>
      <c r="E279" t="str">
        <f t="shared" si="18"/>
        <v>Jul-1976</v>
      </c>
      <c r="F279" s="12">
        <f t="shared" si="19"/>
        <v>6.36</v>
      </c>
    </row>
    <row r="280" spans="1:6" x14ac:dyDescent="0.25">
      <c r="A280" s="1">
        <v>27971</v>
      </c>
      <c r="B280">
        <v>8.98</v>
      </c>
      <c r="C280" s="11">
        <f t="shared" si="16"/>
        <v>8.9800000000000005E-2</v>
      </c>
      <c r="D280">
        <f t="shared" si="17"/>
        <v>1976</v>
      </c>
      <c r="E280" t="str">
        <f t="shared" si="18"/>
        <v>Jul-1976</v>
      </c>
      <c r="F280" s="12">
        <f t="shared" si="19"/>
        <v>6.36</v>
      </c>
    </row>
    <row r="281" spans="1:6" x14ac:dyDescent="0.25">
      <c r="A281" s="1">
        <v>27978</v>
      </c>
      <c r="B281">
        <v>9</v>
      </c>
      <c r="C281" s="11">
        <f t="shared" si="16"/>
        <v>0.09</v>
      </c>
      <c r="D281">
        <f t="shared" si="17"/>
        <v>1976</v>
      </c>
      <c r="E281" t="str">
        <f t="shared" si="18"/>
        <v>Aug-1976</v>
      </c>
      <c r="F281" s="12">
        <f t="shared" si="19"/>
        <v>6.36</v>
      </c>
    </row>
    <row r="282" spans="1:6" x14ac:dyDescent="0.25">
      <c r="A282" s="1">
        <v>27985</v>
      </c>
      <c r="B282">
        <v>9</v>
      </c>
      <c r="C282" s="11">
        <f t="shared" si="16"/>
        <v>0.09</v>
      </c>
      <c r="D282">
        <f t="shared" si="17"/>
        <v>1976</v>
      </c>
      <c r="E282" t="str">
        <f t="shared" si="18"/>
        <v>Aug-1976</v>
      </c>
      <c r="F282" s="12">
        <f t="shared" si="19"/>
        <v>6.36</v>
      </c>
    </row>
    <row r="283" spans="1:6" x14ac:dyDescent="0.25">
      <c r="A283" s="1">
        <v>27992</v>
      </c>
      <c r="B283">
        <v>9</v>
      </c>
      <c r="C283" s="11">
        <f t="shared" si="16"/>
        <v>0.09</v>
      </c>
      <c r="D283">
        <f t="shared" si="17"/>
        <v>1976</v>
      </c>
      <c r="E283" t="str">
        <f t="shared" si="18"/>
        <v>Aug-1976</v>
      </c>
      <c r="F283" s="12">
        <f t="shared" si="19"/>
        <v>6.36</v>
      </c>
    </row>
    <row r="284" spans="1:6" x14ac:dyDescent="0.25">
      <c r="A284" s="1">
        <v>27999</v>
      </c>
      <c r="B284">
        <v>9</v>
      </c>
      <c r="C284" s="11">
        <f t="shared" si="16"/>
        <v>0.09</v>
      </c>
      <c r="D284">
        <f t="shared" si="17"/>
        <v>1976</v>
      </c>
      <c r="E284" t="str">
        <f t="shared" si="18"/>
        <v>Aug-1976</v>
      </c>
      <c r="F284" s="12">
        <f t="shared" si="19"/>
        <v>6.36</v>
      </c>
    </row>
    <row r="285" spans="1:6" x14ac:dyDescent="0.25">
      <c r="A285" s="1">
        <v>28006</v>
      </c>
      <c r="B285">
        <v>9</v>
      </c>
      <c r="C285" s="11">
        <f t="shared" si="16"/>
        <v>0.09</v>
      </c>
      <c r="D285">
        <f t="shared" si="17"/>
        <v>1976</v>
      </c>
      <c r="E285" t="str">
        <f t="shared" si="18"/>
        <v>Sep-1976</v>
      </c>
      <c r="F285" s="12">
        <f t="shared" si="19"/>
        <v>6.36</v>
      </c>
    </row>
    <row r="286" spans="1:6" x14ac:dyDescent="0.25">
      <c r="A286" s="1">
        <v>28013</v>
      </c>
      <c r="B286">
        <v>8.9700000000000006</v>
      </c>
      <c r="C286" s="11">
        <f t="shared" si="16"/>
        <v>8.9700000000000002E-2</v>
      </c>
      <c r="D286">
        <f t="shared" si="17"/>
        <v>1976</v>
      </c>
      <c r="E286" t="str">
        <f t="shared" si="18"/>
        <v>Sep-1976</v>
      </c>
      <c r="F286" s="12">
        <f t="shared" si="19"/>
        <v>6.36</v>
      </c>
    </row>
    <row r="287" spans="1:6" x14ac:dyDescent="0.25">
      <c r="A287" s="1">
        <v>28020</v>
      </c>
      <c r="B287">
        <v>8.9700000000000006</v>
      </c>
      <c r="C287" s="11">
        <f t="shared" si="16"/>
        <v>8.9700000000000002E-2</v>
      </c>
      <c r="D287">
        <f t="shared" si="17"/>
        <v>1976</v>
      </c>
      <c r="E287" t="str">
        <f t="shared" si="18"/>
        <v>Sep-1976</v>
      </c>
      <c r="F287" s="12">
        <f t="shared" si="19"/>
        <v>6.36</v>
      </c>
    </row>
    <row r="288" spans="1:6" x14ac:dyDescent="0.25">
      <c r="A288" s="1">
        <v>28027</v>
      </c>
      <c r="B288">
        <v>8.9700000000000006</v>
      </c>
      <c r="C288" s="11">
        <f t="shared" si="16"/>
        <v>8.9700000000000002E-2</v>
      </c>
      <c r="D288">
        <f t="shared" si="17"/>
        <v>1976</v>
      </c>
      <c r="E288" t="str">
        <f t="shared" si="18"/>
        <v>Sep-1976</v>
      </c>
      <c r="F288" s="12">
        <f t="shared" si="19"/>
        <v>6.36</v>
      </c>
    </row>
    <row r="289" spans="1:6" x14ac:dyDescent="0.25">
      <c r="A289" s="1">
        <v>28034</v>
      </c>
      <c r="B289">
        <v>8.9</v>
      </c>
      <c r="C289" s="11">
        <f t="shared" si="16"/>
        <v>8.900000000000001E-2</v>
      </c>
      <c r="D289">
        <f t="shared" si="17"/>
        <v>1976</v>
      </c>
      <c r="E289" t="str">
        <f t="shared" si="18"/>
        <v>Oct-1976</v>
      </c>
      <c r="F289" s="12">
        <f t="shared" si="19"/>
        <v>6.36</v>
      </c>
    </row>
    <row r="290" spans="1:6" x14ac:dyDescent="0.25">
      <c r="A290" s="1">
        <v>28041</v>
      </c>
      <c r="B290">
        <v>8.9499999999999993</v>
      </c>
      <c r="C290" s="11">
        <f t="shared" si="16"/>
        <v>8.9499999999999996E-2</v>
      </c>
      <c r="D290">
        <f t="shared" si="17"/>
        <v>1976</v>
      </c>
      <c r="E290" t="str">
        <f t="shared" si="18"/>
        <v>Oct-1976</v>
      </c>
      <c r="F290" s="12">
        <f t="shared" si="19"/>
        <v>6.36</v>
      </c>
    </row>
    <row r="291" spans="1:6" x14ac:dyDescent="0.25">
      <c r="A291" s="1">
        <v>28048</v>
      </c>
      <c r="B291">
        <v>8.9499999999999993</v>
      </c>
      <c r="C291" s="11">
        <f t="shared" si="16"/>
        <v>8.9499999999999996E-2</v>
      </c>
      <c r="D291">
        <f t="shared" si="17"/>
        <v>1976</v>
      </c>
      <c r="E291" t="str">
        <f t="shared" si="18"/>
        <v>Oct-1976</v>
      </c>
      <c r="F291" s="12">
        <f t="shared" si="19"/>
        <v>6.36</v>
      </c>
    </row>
    <row r="292" spans="1:6" x14ac:dyDescent="0.25">
      <c r="A292" s="1">
        <v>28055</v>
      </c>
      <c r="B292">
        <v>8.9499999999999993</v>
      </c>
      <c r="C292" s="11">
        <f t="shared" si="16"/>
        <v>8.9499999999999996E-2</v>
      </c>
      <c r="D292">
        <f t="shared" si="17"/>
        <v>1976</v>
      </c>
      <c r="E292" t="str">
        <f t="shared" si="18"/>
        <v>Oct-1976</v>
      </c>
      <c r="F292" s="12">
        <f t="shared" si="19"/>
        <v>6.36</v>
      </c>
    </row>
    <row r="293" spans="1:6" x14ac:dyDescent="0.25">
      <c r="A293" s="1">
        <v>28062</v>
      </c>
      <c r="B293">
        <v>8.9</v>
      </c>
      <c r="C293" s="11">
        <f t="shared" si="16"/>
        <v>8.900000000000001E-2</v>
      </c>
      <c r="D293">
        <f t="shared" si="17"/>
        <v>1976</v>
      </c>
      <c r="E293" t="str">
        <f t="shared" si="18"/>
        <v>Oct-1976</v>
      </c>
      <c r="F293" s="12">
        <f t="shared" si="19"/>
        <v>6.36</v>
      </c>
    </row>
    <row r="294" spans="1:6" x14ac:dyDescent="0.25">
      <c r="A294" s="1">
        <v>28069</v>
      </c>
      <c r="B294">
        <v>8.85</v>
      </c>
      <c r="C294" s="11">
        <f t="shared" si="16"/>
        <v>8.8499999999999995E-2</v>
      </c>
      <c r="D294">
        <f t="shared" si="17"/>
        <v>1976</v>
      </c>
      <c r="E294" t="str">
        <f t="shared" si="18"/>
        <v>Nov-1976</v>
      </c>
      <c r="F294" s="12">
        <f t="shared" si="19"/>
        <v>6.36</v>
      </c>
    </row>
    <row r="295" spans="1:6" x14ac:dyDescent="0.25">
      <c r="A295" s="1">
        <v>28076</v>
      </c>
      <c r="B295">
        <v>8.8000000000000007</v>
      </c>
      <c r="C295" s="11">
        <f t="shared" si="16"/>
        <v>8.8000000000000009E-2</v>
      </c>
      <c r="D295">
        <f t="shared" si="17"/>
        <v>1976</v>
      </c>
      <c r="E295" t="str">
        <f t="shared" si="18"/>
        <v>Nov-1976</v>
      </c>
      <c r="F295" s="12">
        <f t="shared" si="19"/>
        <v>6.36</v>
      </c>
    </row>
    <row r="296" spans="1:6" x14ac:dyDescent="0.25">
      <c r="A296" s="1">
        <v>28083</v>
      </c>
      <c r="B296">
        <v>8.8000000000000007</v>
      </c>
      <c r="C296" s="11">
        <f t="shared" si="16"/>
        <v>8.8000000000000009E-2</v>
      </c>
      <c r="D296">
        <f t="shared" si="17"/>
        <v>1976</v>
      </c>
      <c r="E296" t="str">
        <f t="shared" si="18"/>
        <v>Nov-1976</v>
      </c>
      <c r="F296" s="12">
        <f t="shared" si="19"/>
        <v>6.36</v>
      </c>
    </row>
    <row r="297" spans="1:6" x14ac:dyDescent="0.25">
      <c r="A297" s="1">
        <v>28090</v>
      </c>
      <c r="B297">
        <v>8.8000000000000007</v>
      </c>
      <c r="C297" s="11">
        <f t="shared" si="16"/>
        <v>8.8000000000000009E-2</v>
      </c>
      <c r="D297">
        <f t="shared" si="17"/>
        <v>1976</v>
      </c>
      <c r="E297" t="str">
        <f t="shared" si="18"/>
        <v>Nov-1976</v>
      </c>
      <c r="F297" s="12">
        <f t="shared" si="19"/>
        <v>6.36</v>
      </c>
    </row>
    <row r="298" spans="1:6" x14ac:dyDescent="0.25">
      <c r="A298" s="1">
        <v>28097</v>
      </c>
      <c r="B298">
        <v>8.8000000000000007</v>
      </c>
      <c r="C298" s="11">
        <f t="shared" si="16"/>
        <v>8.8000000000000009E-2</v>
      </c>
      <c r="D298">
        <f t="shared" si="17"/>
        <v>1976</v>
      </c>
      <c r="E298" t="str">
        <f t="shared" si="18"/>
        <v>Dec-1976</v>
      </c>
      <c r="F298" s="12">
        <f t="shared" si="19"/>
        <v>6.36</v>
      </c>
    </row>
    <row r="299" spans="1:6" x14ac:dyDescent="0.25">
      <c r="A299" s="1">
        <v>28104</v>
      </c>
      <c r="B299">
        <v>8.8000000000000007</v>
      </c>
      <c r="C299" s="11">
        <f t="shared" si="16"/>
        <v>8.8000000000000009E-2</v>
      </c>
      <c r="D299">
        <f t="shared" si="17"/>
        <v>1976</v>
      </c>
      <c r="E299" t="str">
        <f t="shared" si="18"/>
        <v>Dec-1976</v>
      </c>
      <c r="F299" s="12">
        <f t="shared" si="19"/>
        <v>6.36</v>
      </c>
    </row>
    <row r="300" spans="1:6" x14ac:dyDescent="0.25">
      <c r="A300" s="1">
        <v>28111</v>
      </c>
      <c r="B300">
        <v>8.8000000000000007</v>
      </c>
      <c r="C300" s="11">
        <f t="shared" si="16"/>
        <v>8.8000000000000009E-2</v>
      </c>
      <c r="D300">
        <f t="shared" si="17"/>
        <v>1976</v>
      </c>
      <c r="E300" t="str">
        <f t="shared" si="18"/>
        <v>Dec-1976</v>
      </c>
      <c r="F300" s="12">
        <f t="shared" si="19"/>
        <v>6.36</v>
      </c>
    </row>
    <row r="301" spans="1:6" x14ac:dyDescent="0.25">
      <c r="A301" s="1">
        <v>28118</v>
      </c>
      <c r="B301">
        <v>8.7799999999999994</v>
      </c>
      <c r="C301" s="11">
        <f t="shared" si="16"/>
        <v>8.7799999999999989E-2</v>
      </c>
      <c r="D301">
        <f t="shared" si="17"/>
        <v>1976</v>
      </c>
      <c r="E301" t="str">
        <f t="shared" si="18"/>
        <v>Dec-1976</v>
      </c>
      <c r="F301" s="12">
        <f t="shared" si="19"/>
        <v>6.36</v>
      </c>
    </row>
    <row r="302" spans="1:6" x14ac:dyDescent="0.25">
      <c r="A302" s="1">
        <v>28125</v>
      </c>
      <c r="B302">
        <v>8.7799999999999994</v>
      </c>
      <c r="C302" s="11">
        <f t="shared" si="16"/>
        <v>8.7799999999999989E-2</v>
      </c>
      <c r="D302">
        <f t="shared" si="17"/>
        <v>1976</v>
      </c>
      <c r="E302" t="str">
        <f t="shared" si="18"/>
        <v>Dec-1976</v>
      </c>
      <c r="F302" s="12">
        <f t="shared" si="19"/>
        <v>6.36</v>
      </c>
    </row>
    <row r="303" spans="1:6" x14ac:dyDescent="0.25">
      <c r="A303" s="1">
        <v>28132</v>
      </c>
      <c r="B303">
        <v>8.6999999999999993</v>
      </c>
      <c r="C303" s="11">
        <f t="shared" si="16"/>
        <v>8.6999999999999994E-2</v>
      </c>
      <c r="D303">
        <f t="shared" si="17"/>
        <v>1977</v>
      </c>
      <c r="E303" t="str">
        <f t="shared" si="18"/>
        <v>Jan-1977</v>
      </c>
      <c r="F303" s="12">
        <f t="shared" si="19"/>
        <v>6.36</v>
      </c>
    </row>
    <row r="304" spans="1:6" x14ac:dyDescent="0.25">
      <c r="A304" s="1">
        <v>28139</v>
      </c>
      <c r="B304">
        <v>8.73</v>
      </c>
      <c r="C304" s="11">
        <f t="shared" si="16"/>
        <v>8.7300000000000003E-2</v>
      </c>
      <c r="D304">
        <f t="shared" si="17"/>
        <v>1977</v>
      </c>
      <c r="E304" t="str">
        <f t="shared" si="18"/>
        <v>Jan-1977</v>
      </c>
      <c r="F304" s="12">
        <f t="shared" si="19"/>
        <v>6.36</v>
      </c>
    </row>
    <row r="305" spans="1:6" x14ac:dyDescent="0.25">
      <c r="A305" s="1">
        <v>28146</v>
      </c>
      <c r="B305">
        <v>8.73</v>
      </c>
      <c r="C305" s="11">
        <f t="shared" si="16"/>
        <v>8.7300000000000003E-2</v>
      </c>
      <c r="D305">
        <f t="shared" si="17"/>
        <v>1977</v>
      </c>
      <c r="E305" t="str">
        <f t="shared" si="18"/>
        <v>Jan-1977</v>
      </c>
      <c r="F305" s="12">
        <f t="shared" si="19"/>
        <v>6.36</v>
      </c>
    </row>
    <row r="306" spans="1:6" x14ac:dyDescent="0.25">
      <c r="A306" s="1">
        <v>28153</v>
      </c>
      <c r="B306">
        <v>8.73</v>
      </c>
      <c r="C306" s="11">
        <f t="shared" si="16"/>
        <v>8.7300000000000003E-2</v>
      </c>
      <c r="D306">
        <f t="shared" si="17"/>
        <v>1977</v>
      </c>
      <c r="E306" t="str">
        <f t="shared" si="18"/>
        <v>Jan-1977</v>
      </c>
      <c r="F306" s="12">
        <f t="shared" si="19"/>
        <v>6.36</v>
      </c>
    </row>
    <row r="307" spans="1:6" x14ac:dyDescent="0.25">
      <c r="A307" s="1">
        <v>28160</v>
      </c>
      <c r="B307">
        <v>8.68</v>
      </c>
      <c r="C307" s="11">
        <f t="shared" si="16"/>
        <v>8.6800000000000002E-2</v>
      </c>
      <c r="D307">
        <f t="shared" si="17"/>
        <v>1977</v>
      </c>
      <c r="E307" t="str">
        <f t="shared" si="18"/>
        <v>Feb-1977</v>
      </c>
      <c r="F307" s="12">
        <f t="shared" si="19"/>
        <v>6.36</v>
      </c>
    </row>
    <row r="308" spans="1:6" x14ac:dyDescent="0.25">
      <c r="A308" s="1">
        <v>28167</v>
      </c>
      <c r="B308">
        <v>8.6999999999999993</v>
      </c>
      <c r="C308" s="11">
        <f t="shared" si="16"/>
        <v>8.6999999999999994E-2</v>
      </c>
      <c r="D308">
        <f t="shared" si="17"/>
        <v>1977</v>
      </c>
      <c r="E308" t="str">
        <f t="shared" si="18"/>
        <v>Feb-1977</v>
      </c>
      <c r="F308" s="12">
        <f t="shared" si="19"/>
        <v>6.36</v>
      </c>
    </row>
    <row r="309" spans="1:6" x14ac:dyDescent="0.25">
      <c r="A309" s="1">
        <v>28174</v>
      </c>
      <c r="B309">
        <v>8.65</v>
      </c>
      <c r="C309" s="11">
        <f t="shared" si="16"/>
        <v>8.6500000000000007E-2</v>
      </c>
      <c r="D309">
        <f t="shared" si="17"/>
        <v>1977</v>
      </c>
      <c r="E309" t="str">
        <f t="shared" si="18"/>
        <v>Feb-1977</v>
      </c>
      <c r="F309" s="12">
        <f t="shared" si="19"/>
        <v>6.36</v>
      </c>
    </row>
    <row r="310" spans="1:6" x14ac:dyDescent="0.25">
      <c r="A310" s="1">
        <v>28181</v>
      </c>
      <c r="B310">
        <v>8.65</v>
      </c>
      <c r="C310" s="11">
        <f t="shared" si="16"/>
        <v>8.6500000000000007E-2</v>
      </c>
      <c r="D310">
        <f t="shared" si="17"/>
        <v>1977</v>
      </c>
      <c r="E310" t="str">
        <f t="shared" si="18"/>
        <v>Feb-1977</v>
      </c>
      <c r="F310" s="12">
        <f t="shared" si="19"/>
        <v>6.36</v>
      </c>
    </row>
    <row r="311" spans="1:6" x14ac:dyDescent="0.25">
      <c r="A311" s="1">
        <v>28188</v>
      </c>
      <c r="B311">
        <v>8.65</v>
      </c>
      <c r="C311" s="11">
        <f t="shared" si="16"/>
        <v>8.6500000000000007E-2</v>
      </c>
      <c r="D311">
        <f t="shared" si="17"/>
        <v>1977</v>
      </c>
      <c r="E311" t="str">
        <f t="shared" si="18"/>
        <v>Mar-1977</v>
      </c>
      <c r="F311" s="12">
        <f t="shared" si="19"/>
        <v>6.36</v>
      </c>
    </row>
    <row r="312" spans="1:6" x14ac:dyDescent="0.25">
      <c r="A312" s="1">
        <v>28195</v>
      </c>
      <c r="B312">
        <v>8.6999999999999993</v>
      </c>
      <c r="C312" s="11">
        <f t="shared" si="16"/>
        <v>8.6999999999999994E-2</v>
      </c>
      <c r="D312">
        <f t="shared" si="17"/>
        <v>1977</v>
      </c>
      <c r="E312" t="str">
        <f t="shared" si="18"/>
        <v>Mar-1977</v>
      </c>
      <c r="F312" s="12">
        <f t="shared" si="19"/>
        <v>6.36</v>
      </c>
    </row>
    <row r="313" spans="1:6" x14ac:dyDescent="0.25">
      <c r="A313" s="1">
        <v>28202</v>
      </c>
      <c r="B313">
        <v>8.6999999999999993</v>
      </c>
      <c r="C313" s="11">
        <f t="shared" si="16"/>
        <v>8.6999999999999994E-2</v>
      </c>
      <c r="D313">
        <f t="shared" si="17"/>
        <v>1977</v>
      </c>
      <c r="E313" t="str">
        <f t="shared" si="18"/>
        <v>Mar-1977</v>
      </c>
      <c r="F313" s="12">
        <f t="shared" si="19"/>
        <v>6.36</v>
      </c>
    </row>
    <row r="314" spans="1:6" x14ac:dyDescent="0.25">
      <c r="A314" s="1">
        <v>28209</v>
      </c>
      <c r="B314">
        <v>8.6999999999999993</v>
      </c>
      <c r="C314" s="11">
        <f t="shared" si="16"/>
        <v>8.6999999999999994E-2</v>
      </c>
      <c r="D314">
        <f t="shared" si="17"/>
        <v>1977</v>
      </c>
      <c r="E314" t="str">
        <f t="shared" si="18"/>
        <v>Mar-1977</v>
      </c>
      <c r="F314" s="12">
        <f t="shared" si="19"/>
        <v>6.36</v>
      </c>
    </row>
    <row r="315" spans="1:6" x14ac:dyDescent="0.25">
      <c r="A315" s="1">
        <v>28216</v>
      </c>
      <c r="B315">
        <v>8.6999999999999993</v>
      </c>
      <c r="C315" s="11">
        <f t="shared" si="16"/>
        <v>8.6999999999999994E-2</v>
      </c>
      <c r="D315">
        <f t="shared" si="17"/>
        <v>1977</v>
      </c>
      <c r="E315" t="str">
        <f t="shared" si="18"/>
        <v>Apr-1977</v>
      </c>
      <c r="F315" s="12">
        <f t="shared" si="19"/>
        <v>6.36</v>
      </c>
    </row>
    <row r="316" spans="1:6" x14ac:dyDescent="0.25">
      <c r="A316" s="1">
        <v>28223</v>
      </c>
      <c r="B316">
        <v>8.75</v>
      </c>
      <c r="C316" s="11">
        <f t="shared" si="16"/>
        <v>8.7499999999999994E-2</v>
      </c>
      <c r="D316">
        <f t="shared" si="17"/>
        <v>1977</v>
      </c>
      <c r="E316" t="str">
        <f t="shared" si="18"/>
        <v>Apr-1977</v>
      </c>
      <c r="F316" s="12">
        <f t="shared" si="19"/>
        <v>6.36</v>
      </c>
    </row>
    <row r="317" spans="1:6" x14ac:dyDescent="0.25">
      <c r="A317" s="1">
        <v>28230</v>
      </c>
      <c r="B317">
        <v>8.75</v>
      </c>
      <c r="C317" s="11">
        <f t="shared" si="16"/>
        <v>8.7499999999999994E-2</v>
      </c>
      <c r="D317">
        <f t="shared" si="17"/>
        <v>1977</v>
      </c>
      <c r="E317" t="str">
        <f t="shared" si="18"/>
        <v>Apr-1977</v>
      </c>
      <c r="F317" s="12">
        <f t="shared" si="19"/>
        <v>6.36</v>
      </c>
    </row>
    <row r="318" spans="1:6" x14ac:dyDescent="0.25">
      <c r="A318" s="1">
        <v>28237</v>
      </c>
      <c r="B318">
        <v>8.7799999999999994</v>
      </c>
      <c r="C318" s="11">
        <f t="shared" si="16"/>
        <v>8.7799999999999989E-2</v>
      </c>
      <c r="D318">
        <f t="shared" si="17"/>
        <v>1977</v>
      </c>
      <c r="E318" t="str">
        <f t="shared" si="18"/>
        <v>Apr-1977</v>
      </c>
      <c r="F318" s="12">
        <f t="shared" si="19"/>
        <v>6.36</v>
      </c>
    </row>
    <row r="319" spans="1:6" x14ac:dyDescent="0.25">
      <c r="A319" s="1">
        <v>28244</v>
      </c>
      <c r="B319">
        <v>8.7799999999999994</v>
      </c>
      <c r="C319" s="11">
        <f t="shared" si="16"/>
        <v>8.7799999999999989E-2</v>
      </c>
      <c r="D319">
        <f t="shared" si="17"/>
        <v>1977</v>
      </c>
      <c r="E319" t="str">
        <f t="shared" si="18"/>
        <v>Apr-1977</v>
      </c>
      <c r="F319" s="12">
        <f t="shared" si="19"/>
        <v>6.36</v>
      </c>
    </row>
    <row r="320" spans="1:6" x14ac:dyDescent="0.25">
      <c r="A320" s="1">
        <v>28251</v>
      </c>
      <c r="B320">
        <v>8.7799999999999994</v>
      </c>
      <c r="C320" s="11">
        <f t="shared" si="16"/>
        <v>8.7799999999999989E-2</v>
      </c>
      <c r="D320">
        <f t="shared" si="17"/>
        <v>1977</v>
      </c>
      <c r="E320" t="str">
        <f t="shared" si="18"/>
        <v>May-1977</v>
      </c>
      <c r="F320" s="12">
        <f t="shared" si="19"/>
        <v>6.36</v>
      </c>
    </row>
    <row r="321" spans="1:6" x14ac:dyDescent="0.25">
      <c r="A321" s="1">
        <v>28258</v>
      </c>
      <c r="B321">
        <v>8.83</v>
      </c>
      <c r="C321" s="11">
        <f t="shared" si="16"/>
        <v>8.8300000000000003E-2</v>
      </c>
      <c r="D321">
        <f t="shared" si="17"/>
        <v>1977</v>
      </c>
      <c r="E321" t="str">
        <f t="shared" si="18"/>
        <v>May-1977</v>
      </c>
      <c r="F321" s="12">
        <f t="shared" si="19"/>
        <v>6.36</v>
      </c>
    </row>
    <row r="322" spans="1:6" x14ac:dyDescent="0.25">
      <c r="A322" s="1">
        <v>28265</v>
      </c>
      <c r="B322">
        <v>8.85</v>
      </c>
      <c r="C322" s="11">
        <f t="shared" ref="C322:C385" si="20">B322/100</f>
        <v>8.8499999999999995E-2</v>
      </c>
      <c r="D322">
        <f t="shared" ref="D322:D385" si="21">YEAR(A322)</f>
        <v>1977</v>
      </c>
      <c r="E322" t="str">
        <f t="shared" ref="E322:E385" si="22">TEXT(A322,"MMM-YYYY")</f>
        <v>May-1977</v>
      </c>
      <c r="F322" s="12">
        <f t="shared" ref="F322:F385" si="23">$H$2</f>
        <v>6.36</v>
      </c>
    </row>
    <row r="323" spans="1:6" x14ac:dyDescent="0.25">
      <c r="A323" s="1">
        <v>28272</v>
      </c>
      <c r="B323">
        <v>8.85</v>
      </c>
      <c r="C323" s="11">
        <f t="shared" si="20"/>
        <v>8.8499999999999995E-2</v>
      </c>
      <c r="D323">
        <f t="shared" si="21"/>
        <v>1977</v>
      </c>
      <c r="E323" t="str">
        <f t="shared" si="22"/>
        <v>May-1977</v>
      </c>
      <c r="F323" s="12">
        <f t="shared" si="23"/>
        <v>6.36</v>
      </c>
    </row>
    <row r="324" spans="1:6" x14ac:dyDescent="0.25">
      <c r="A324" s="1">
        <v>28279</v>
      </c>
      <c r="B324">
        <v>8.85</v>
      </c>
      <c r="C324" s="11">
        <f t="shared" si="20"/>
        <v>8.8499999999999995E-2</v>
      </c>
      <c r="D324">
        <f t="shared" si="21"/>
        <v>1977</v>
      </c>
      <c r="E324" t="str">
        <f t="shared" si="22"/>
        <v>Jun-1977</v>
      </c>
      <c r="F324" s="12">
        <f t="shared" si="23"/>
        <v>6.36</v>
      </c>
    </row>
    <row r="325" spans="1:6" x14ac:dyDescent="0.25">
      <c r="A325" s="1">
        <v>28286</v>
      </c>
      <c r="B325">
        <v>8.85</v>
      </c>
      <c r="C325" s="11">
        <f t="shared" si="20"/>
        <v>8.8499999999999995E-2</v>
      </c>
      <c r="D325">
        <f t="shared" si="21"/>
        <v>1977</v>
      </c>
      <c r="E325" t="str">
        <f t="shared" si="22"/>
        <v>Jun-1977</v>
      </c>
      <c r="F325" s="12">
        <f t="shared" si="23"/>
        <v>6.36</v>
      </c>
    </row>
    <row r="326" spans="1:6" x14ac:dyDescent="0.25">
      <c r="A326" s="1">
        <v>28293</v>
      </c>
      <c r="B326">
        <v>8.85</v>
      </c>
      <c r="C326" s="11">
        <f t="shared" si="20"/>
        <v>8.8499999999999995E-2</v>
      </c>
      <c r="D326">
        <f t="shared" si="21"/>
        <v>1977</v>
      </c>
      <c r="E326" t="str">
        <f t="shared" si="22"/>
        <v>Jun-1977</v>
      </c>
      <c r="F326" s="12">
        <f t="shared" si="23"/>
        <v>6.36</v>
      </c>
    </row>
    <row r="327" spans="1:6" x14ac:dyDescent="0.25">
      <c r="A327" s="1">
        <v>28300</v>
      </c>
      <c r="B327">
        <v>8.8800000000000008</v>
      </c>
      <c r="C327" s="11">
        <f t="shared" si="20"/>
        <v>8.8800000000000004E-2</v>
      </c>
      <c r="D327">
        <f t="shared" si="21"/>
        <v>1977</v>
      </c>
      <c r="E327" t="str">
        <f t="shared" si="22"/>
        <v>Jun-1977</v>
      </c>
      <c r="F327" s="12">
        <f t="shared" si="23"/>
        <v>6.36</v>
      </c>
    </row>
    <row r="328" spans="1:6" x14ac:dyDescent="0.25">
      <c r="A328" s="1">
        <v>28307</v>
      </c>
      <c r="B328">
        <v>8.9499999999999993</v>
      </c>
      <c r="C328" s="11">
        <f t="shared" si="20"/>
        <v>8.9499999999999996E-2</v>
      </c>
      <c r="D328">
        <f t="shared" si="21"/>
        <v>1977</v>
      </c>
      <c r="E328" t="str">
        <f t="shared" si="22"/>
        <v>Jul-1977</v>
      </c>
      <c r="F328" s="12">
        <f t="shared" si="23"/>
        <v>6.36</v>
      </c>
    </row>
    <row r="329" spans="1:6" x14ac:dyDescent="0.25">
      <c r="A329" s="1">
        <v>28314</v>
      </c>
      <c r="B329">
        <v>8.93</v>
      </c>
      <c r="C329" s="11">
        <f t="shared" si="20"/>
        <v>8.929999999999999E-2</v>
      </c>
      <c r="D329">
        <f t="shared" si="21"/>
        <v>1977</v>
      </c>
      <c r="E329" t="str">
        <f t="shared" si="22"/>
        <v>Jul-1977</v>
      </c>
      <c r="F329" s="12">
        <f t="shared" si="23"/>
        <v>6.36</v>
      </c>
    </row>
    <row r="330" spans="1:6" x14ac:dyDescent="0.25">
      <c r="A330" s="1">
        <v>28321</v>
      </c>
      <c r="B330">
        <v>8.9499999999999993</v>
      </c>
      <c r="C330" s="11">
        <f t="shared" si="20"/>
        <v>8.9499999999999996E-2</v>
      </c>
      <c r="D330">
        <f t="shared" si="21"/>
        <v>1977</v>
      </c>
      <c r="E330" t="str">
        <f t="shared" si="22"/>
        <v>Jul-1977</v>
      </c>
      <c r="F330" s="12">
        <f t="shared" si="23"/>
        <v>6.36</v>
      </c>
    </row>
    <row r="331" spans="1:6" x14ac:dyDescent="0.25">
      <c r="A331" s="1">
        <v>28328</v>
      </c>
      <c r="B331">
        <v>8.9499999999999993</v>
      </c>
      <c r="C331" s="11">
        <f t="shared" si="20"/>
        <v>8.9499999999999996E-2</v>
      </c>
      <c r="D331">
        <f t="shared" si="21"/>
        <v>1977</v>
      </c>
      <c r="E331" t="str">
        <f t="shared" si="22"/>
        <v>Jul-1977</v>
      </c>
      <c r="F331" s="12">
        <f t="shared" si="23"/>
        <v>6.36</v>
      </c>
    </row>
    <row r="332" spans="1:6" x14ac:dyDescent="0.25">
      <c r="A332" s="1">
        <v>28335</v>
      </c>
      <c r="B332">
        <v>8.93</v>
      </c>
      <c r="C332" s="11">
        <f t="shared" si="20"/>
        <v>8.929999999999999E-2</v>
      </c>
      <c r="D332">
        <f t="shared" si="21"/>
        <v>1977</v>
      </c>
      <c r="E332" t="str">
        <f t="shared" si="22"/>
        <v>Jul-1977</v>
      </c>
      <c r="F332" s="12">
        <f t="shared" si="23"/>
        <v>6.36</v>
      </c>
    </row>
    <row r="333" spans="1:6" x14ac:dyDescent="0.25">
      <c r="A333" s="1">
        <v>28342</v>
      </c>
      <c r="B333">
        <v>8.9499999999999993</v>
      </c>
      <c r="C333" s="11">
        <f t="shared" si="20"/>
        <v>8.9499999999999996E-2</v>
      </c>
      <c r="D333">
        <f t="shared" si="21"/>
        <v>1977</v>
      </c>
      <c r="E333" t="str">
        <f t="shared" si="22"/>
        <v>Aug-1977</v>
      </c>
      <c r="F333" s="12">
        <f t="shared" si="23"/>
        <v>6.36</v>
      </c>
    </row>
    <row r="334" spans="1:6" x14ac:dyDescent="0.25">
      <c r="A334" s="1">
        <v>28349</v>
      </c>
      <c r="B334">
        <v>8.9499999999999993</v>
      </c>
      <c r="C334" s="11">
        <f t="shared" si="20"/>
        <v>8.9499999999999996E-2</v>
      </c>
      <c r="D334">
        <f t="shared" si="21"/>
        <v>1977</v>
      </c>
      <c r="E334" t="str">
        <f t="shared" si="22"/>
        <v>Aug-1977</v>
      </c>
      <c r="F334" s="12">
        <f t="shared" si="23"/>
        <v>6.36</v>
      </c>
    </row>
    <row r="335" spans="1:6" x14ac:dyDescent="0.25">
      <c r="A335" s="1">
        <v>28356</v>
      </c>
      <c r="B335">
        <v>8.93</v>
      </c>
      <c r="C335" s="11">
        <f t="shared" si="20"/>
        <v>8.929999999999999E-2</v>
      </c>
      <c r="D335">
        <f t="shared" si="21"/>
        <v>1977</v>
      </c>
      <c r="E335" t="str">
        <f t="shared" si="22"/>
        <v>Aug-1977</v>
      </c>
      <c r="F335" s="12">
        <f t="shared" si="23"/>
        <v>6.36</v>
      </c>
    </row>
    <row r="336" spans="1:6" x14ac:dyDescent="0.25">
      <c r="A336" s="1">
        <v>28363</v>
      </c>
      <c r="B336">
        <v>8.93</v>
      </c>
      <c r="C336" s="11">
        <f t="shared" si="20"/>
        <v>8.929999999999999E-2</v>
      </c>
      <c r="D336">
        <f t="shared" si="21"/>
        <v>1977</v>
      </c>
      <c r="E336" t="str">
        <f t="shared" si="22"/>
        <v>Aug-1977</v>
      </c>
      <c r="F336" s="12">
        <f t="shared" si="23"/>
        <v>6.36</v>
      </c>
    </row>
    <row r="337" spans="1:6" x14ac:dyDescent="0.25">
      <c r="A337" s="1">
        <v>28370</v>
      </c>
      <c r="B337">
        <v>8.8800000000000008</v>
      </c>
      <c r="C337" s="11">
        <f t="shared" si="20"/>
        <v>8.8800000000000004E-2</v>
      </c>
      <c r="D337">
        <f t="shared" si="21"/>
        <v>1977</v>
      </c>
      <c r="E337" t="str">
        <f t="shared" si="22"/>
        <v>Sep-1977</v>
      </c>
      <c r="F337" s="12">
        <f t="shared" si="23"/>
        <v>6.36</v>
      </c>
    </row>
    <row r="338" spans="1:6" x14ac:dyDescent="0.25">
      <c r="A338" s="1">
        <v>28377</v>
      </c>
      <c r="B338">
        <v>8.9</v>
      </c>
      <c r="C338" s="11">
        <f t="shared" si="20"/>
        <v>8.900000000000001E-2</v>
      </c>
      <c r="D338">
        <f t="shared" si="21"/>
        <v>1977</v>
      </c>
      <c r="E338" t="str">
        <f t="shared" si="22"/>
        <v>Sep-1977</v>
      </c>
      <c r="F338" s="12">
        <f t="shared" si="23"/>
        <v>6.36</v>
      </c>
    </row>
    <row r="339" spans="1:6" x14ac:dyDescent="0.25">
      <c r="A339" s="1">
        <v>28384</v>
      </c>
      <c r="B339">
        <v>8.9</v>
      </c>
      <c r="C339" s="11">
        <f t="shared" si="20"/>
        <v>8.900000000000001E-2</v>
      </c>
      <c r="D339">
        <f t="shared" si="21"/>
        <v>1977</v>
      </c>
      <c r="E339" t="str">
        <f t="shared" si="22"/>
        <v>Sep-1977</v>
      </c>
      <c r="F339" s="12">
        <f t="shared" si="23"/>
        <v>6.36</v>
      </c>
    </row>
    <row r="340" spans="1:6" x14ac:dyDescent="0.25">
      <c r="A340" s="1">
        <v>28391</v>
      </c>
      <c r="B340">
        <v>8.9</v>
      </c>
      <c r="C340" s="11">
        <f t="shared" si="20"/>
        <v>8.900000000000001E-2</v>
      </c>
      <c r="D340">
        <f t="shared" si="21"/>
        <v>1977</v>
      </c>
      <c r="E340" t="str">
        <f t="shared" si="22"/>
        <v>Sep-1977</v>
      </c>
      <c r="F340" s="12">
        <f t="shared" si="23"/>
        <v>6.36</v>
      </c>
    </row>
    <row r="341" spans="1:6" x14ac:dyDescent="0.25">
      <c r="A341" s="1">
        <v>28398</v>
      </c>
      <c r="B341">
        <v>8.9</v>
      </c>
      <c r="C341" s="11">
        <f t="shared" si="20"/>
        <v>8.900000000000001E-2</v>
      </c>
      <c r="D341">
        <f t="shared" si="21"/>
        <v>1977</v>
      </c>
      <c r="E341" t="str">
        <f t="shared" si="22"/>
        <v>Sep-1977</v>
      </c>
      <c r="F341" s="12">
        <f t="shared" si="23"/>
        <v>6.36</v>
      </c>
    </row>
    <row r="342" spans="1:6" x14ac:dyDescent="0.25">
      <c r="A342" s="1">
        <v>28405</v>
      </c>
      <c r="B342">
        <v>8.93</v>
      </c>
      <c r="C342" s="11">
        <f t="shared" si="20"/>
        <v>8.929999999999999E-2</v>
      </c>
      <c r="D342">
        <f t="shared" si="21"/>
        <v>1977</v>
      </c>
      <c r="E342" t="str">
        <f t="shared" si="22"/>
        <v>Oct-1977</v>
      </c>
      <c r="F342" s="12">
        <f t="shared" si="23"/>
        <v>6.36</v>
      </c>
    </row>
    <row r="343" spans="1:6" x14ac:dyDescent="0.25">
      <c r="A343" s="1">
        <v>28412</v>
      </c>
      <c r="B343">
        <v>8.93</v>
      </c>
      <c r="C343" s="11">
        <f t="shared" si="20"/>
        <v>8.929999999999999E-2</v>
      </c>
      <c r="D343">
        <f t="shared" si="21"/>
        <v>1977</v>
      </c>
      <c r="E343" t="str">
        <f t="shared" si="22"/>
        <v>Oct-1977</v>
      </c>
      <c r="F343" s="12">
        <f t="shared" si="23"/>
        <v>6.36</v>
      </c>
    </row>
    <row r="344" spans="1:6" x14ac:dyDescent="0.25">
      <c r="A344" s="1">
        <v>28419</v>
      </c>
      <c r="B344">
        <v>8.93</v>
      </c>
      <c r="C344" s="11">
        <f t="shared" si="20"/>
        <v>8.929999999999999E-2</v>
      </c>
      <c r="D344">
        <f t="shared" si="21"/>
        <v>1977</v>
      </c>
      <c r="E344" t="str">
        <f t="shared" si="22"/>
        <v>Oct-1977</v>
      </c>
      <c r="F344" s="12">
        <f t="shared" si="23"/>
        <v>6.36</v>
      </c>
    </row>
    <row r="345" spans="1:6" x14ac:dyDescent="0.25">
      <c r="A345" s="1">
        <v>28426</v>
      </c>
      <c r="B345">
        <v>8.9</v>
      </c>
      <c r="C345" s="11">
        <f t="shared" si="20"/>
        <v>8.900000000000001E-2</v>
      </c>
      <c r="D345">
        <f t="shared" si="21"/>
        <v>1977</v>
      </c>
      <c r="E345" t="str">
        <f t="shared" si="22"/>
        <v>Oct-1977</v>
      </c>
      <c r="F345" s="12">
        <f t="shared" si="23"/>
        <v>6.36</v>
      </c>
    </row>
    <row r="346" spans="1:6" x14ac:dyDescent="0.25">
      <c r="A346" s="1">
        <v>28433</v>
      </c>
      <c r="B346">
        <v>8.9</v>
      </c>
      <c r="C346" s="11">
        <f t="shared" si="20"/>
        <v>8.900000000000001E-2</v>
      </c>
      <c r="D346">
        <f t="shared" si="21"/>
        <v>1977</v>
      </c>
      <c r="E346" t="str">
        <f t="shared" si="22"/>
        <v>Nov-1977</v>
      </c>
      <c r="F346" s="12">
        <f t="shared" si="23"/>
        <v>6.36</v>
      </c>
    </row>
    <row r="347" spans="1:6" x14ac:dyDescent="0.25">
      <c r="A347" s="1">
        <v>28440</v>
      </c>
      <c r="B347">
        <v>8.93</v>
      </c>
      <c r="C347" s="11">
        <f t="shared" si="20"/>
        <v>8.929999999999999E-2</v>
      </c>
      <c r="D347">
        <f t="shared" si="21"/>
        <v>1977</v>
      </c>
      <c r="E347" t="str">
        <f t="shared" si="22"/>
        <v>Nov-1977</v>
      </c>
      <c r="F347" s="12">
        <f t="shared" si="23"/>
        <v>6.36</v>
      </c>
    </row>
    <row r="348" spans="1:6" x14ac:dyDescent="0.25">
      <c r="A348" s="1">
        <v>28447</v>
      </c>
      <c r="B348">
        <v>8.93</v>
      </c>
      <c r="C348" s="11">
        <f t="shared" si="20"/>
        <v>8.929999999999999E-2</v>
      </c>
      <c r="D348">
        <f t="shared" si="21"/>
        <v>1977</v>
      </c>
      <c r="E348" t="str">
        <f t="shared" si="22"/>
        <v>Nov-1977</v>
      </c>
      <c r="F348" s="12">
        <f t="shared" si="23"/>
        <v>6.36</v>
      </c>
    </row>
    <row r="349" spans="1:6" x14ac:dyDescent="0.25">
      <c r="A349" s="1">
        <v>28454</v>
      </c>
      <c r="B349">
        <v>8.93</v>
      </c>
      <c r="C349" s="11">
        <f t="shared" si="20"/>
        <v>8.929999999999999E-2</v>
      </c>
      <c r="D349">
        <f t="shared" si="21"/>
        <v>1977</v>
      </c>
      <c r="E349" t="str">
        <f t="shared" si="22"/>
        <v>Nov-1977</v>
      </c>
      <c r="F349" s="12">
        <f t="shared" si="23"/>
        <v>6.36</v>
      </c>
    </row>
    <row r="350" spans="1:6" x14ac:dyDescent="0.25">
      <c r="A350" s="1">
        <v>28461</v>
      </c>
      <c r="B350">
        <v>8.9499999999999993</v>
      </c>
      <c r="C350" s="11">
        <f t="shared" si="20"/>
        <v>8.9499999999999996E-2</v>
      </c>
      <c r="D350">
        <f t="shared" si="21"/>
        <v>1977</v>
      </c>
      <c r="E350" t="str">
        <f t="shared" si="22"/>
        <v>Dec-1977</v>
      </c>
      <c r="F350" s="12">
        <f t="shared" si="23"/>
        <v>6.36</v>
      </c>
    </row>
    <row r="351" spans="1:6" x14ac:dyDescent="0.25">
      <c r="A351" s="1">
        <v>28468</v>
      </c>
      <c r="B351">
        <v>8.9499999999999993</v>
      </c>
      <c r="C351" s="11">
        <f t="shared" si="20"/>
        <v>8.9499999999999996E-2</v>
      </c>
      <c r="D351">
        <f t="shared" si="21"/>
        <v>1977</v>
      </c>
      <c r="E351" t="str">
        <f t="shared" si="22"/>
        <v>Dec-1977</v>
      </c>
      <c r="F351" s="12">
        <f t="shared" si="23"/>
        <v>6.36</v>
      </c>
    </row>
    <row r="352" spans="1:6" x14ac:dyDescent="0.25">
      <c r="A352" s="1">
        <v>28475</v>
      </c>
      <c r="B352">
        <v>8.9499999999999993</v>
      </c>
      <c r="C352" s="11">
        <f t="shared" si="20"/>
        <v>8.9499999999999996E-2</v>
      </c>
      <c r="D352">
        <f t="shared" si="21"/>
        <v>1977</v>
      </c>
      <c r="E352" t="str">
        <f t="shared" si="22"/>
        <v>Dec-1977</v>
      </c>
      <c r="F352" s="12">
        <f t="shared" si="23"/>
        <v>6.36</v>
      </c>
    </row>
    <row r="353" spans="1:6" x14ac:dyDescent="0.25">
      <c r="A353" s="1">
        <v>28482</v>
      </c>
      <c r="B353">
        <v>8.9499999999999993</v>
      </c>
      <c r="C353" s="11">
        <f t="shared" si="20"/>
        <v>8.9499999999999996E-2</v>
      </c>
      <c r="D353">
        <f t="shared" si="21"/>
        <v>1977</v>
      </c>
      <c r="E353" t="str">
        <f t="shared" si="22"/>
        <v>Dec-1977</v>
      </c>
      <c r="F353" s="12">
        <f t="shared" si="23"/>
        <v>6.36</v>
      </c>
    </row>
    <row r="354" spans="1:6" x14ac:dyDescent="0.25">
      <c r="A354" s="1">
        <v>28489</v>
      </c>
      <c r="B354">
        <v>9</v>
      </c>
      <c r="C354" s="11">
        <f t="shared" si="20"/>
        <v>0.09</v>
      </c>
      <c r="D354">
        <f t="shared" si="21"/>
        <v>1977</v>
      </c>
      <c r="E354" t="str">
        <f t="shared" si="22"/>
        <v>Dec-1977</v>
      </c>
      <c r="F354" s="12">
        <f t="shared" si="23"/>
        <v>6.36</v>
      </c>
    </row>
    <row r="355" spans="1:6" x14ac:dyDescent="0.25">
      <c r="A355" s="1">
        <v>28496</v>
      </c>
      <c r="B355">
        <v>9</v>
      </c>
      <c r="C355" s="11">
        <f t="shared" si="20"/>
        <v>0.09</v>
      </c>
      <c r="D355">
        <f t="shared" si="21"/>
        <v>1978</v>
      </c>
      <c r="E355" t="str">
        <f t="shared" si="22"/>
        <v>Jan-1978</v>
      </c>
      <c r="F355" s="12">
        <f t="shared" si="23"/>
        <v>6.36</v>
      </c>
    </row>
    <row r="356" spans="1:6" x14ac:dyDescent="0.25">
      <c r="A356" s="1">
        <v>28503</v>
      </c>
      <c r="B356">
        <v>9.0299999999999994</v>
      </c>
      <c r="C356" s="11">
        <f t="shared" si="20"/>
        <v>9.0299999999999991E-2</v>
      </c>
      <c r="D356">
        <f t="shared" si="21"/>
        <v>1978</v>
      </c>
      <c r="E356" t="str">
        <f t="shared" si="22"/>
        <v>Jan-1978</v>
      </c>
      <c r="F356" s="12">
        <f t="shared" si="23"/>
        <v>6.36</v>
      </c>
    </row>
    <row r="357" spans="1:6" x14ac:dyDescent="0.25">
      <c r="A357" s="1">
        <v>28510</v>
      </c>
      <c r="B357">
        <v>8.98</v>
      </c>
      <c r="C357" s="11">
        <f t="shared" si="20"/>
        <v>8.9800000000000005E-2</v>
      </c>
      <c r="D357">
        <f t="shared" si="21"/>
        <v>1978</v>
      </c>
      <c r="E357" t="str">
        <f t="shared" si="22"/>
        <v>Jan-1978</v>
      </c>
      <c r="F357" s="12">
        <f t="shared" si="23"/>
        <v>6.36</v>
      </c>
    </row>
    <row r="358" spans="1:6" x14ac:dyDescent="0.25">
      <c r="A358" s="1">
        <v>28517</v>
      </c>
      <c r="B358">
        <v>9.0500000000000007</v>
      </c>
      <c r="C358" s="11">
        <f t="shared" si="20"/>
        <v>9.0500000000000011E-2</v>
      </c>
      <c r="D358">
        <f t="shared" si="21"/>
        <v>1978</v>
      </c>
      <c r="E358" t="str">
        <f t="shared" si="22"/>
        <v>Jan-1978</v>
      </c>
      <c r="F358" s="12">
        <f t="shared" si="23"/>
        <v>6.36</v>
      </c>
    </row>
    <row r="359" spans="1:6" x14ac:dyDescent="0.25">
      <c r="A359" s="1">
        <v>28524</v>
      </c>
      <c r="B359">
        <v>9.1300000000000008</v>
      </c>
      <c r="C359" s="11">
        <f t="shared" si="20"/>
        <v>9.1300000000000006E-2</v>
      </c>
      <c r="D359">
        <f t="shared" si="21"/>
        <v>1978</v>
      </c>
      <c r="E359" t="str">
        <f t="shared" si="22"/>
        <v>Feb-1978</v>
      </c>
      <c r="F359" s="12">
        <f t="shared" si="23"/>
        <v>6.36</v>
      </c>
    </row>
    <row r="360" spans="1:6" x14ac:dyDescent="0.25">
      <c r="A360" s="1">
        <v>28531</v>
      </c>
      <c r="B360">
        <v>9.15</v>
      </c>
      <c r="C360" s="11">
        <f t="shared" si="20"/>
        <v>9.1499999999999998E-2</v>
      </c>
      <c r="D360">
        <f t="shared" si="21"/>
        <v>1978</v>
      </c>
      <c r="E360" t="str">
        <f t="shared" si="22"/>
        <v>Feb-1978</v>
      </c>
      <c r="F360" s="12">
        <f t="shared" si="23"/>
        <v>6.36</v>
      </c>
    </row>
    <row r="361" spans="1:6" x14ac:dyDescent="0.25">
      <c r="A361" s="1">
        <v>28538</v>
      </c>
      <c r="B361">
        <v>9.15</v>
      </c>
      <c r="C361" s="11">
        <f t="shared" si="20"/>
        <v>9.1499999999999998E-2</v>
      </c>
      <c r="D361">
        <f t="shared" si="21"/>
        <v>1978</v>
      </c>
      <c r="E361" t="str">
        <f t="shared" si="22"/>
        <v>Feb-1978</v>
      </c>
      <c r="F361" s="12">
        <f t="shared" si="23"/>
        <v>6.36</v>
      </c>
    </row>
    <row r="362" spans="1:6" x14ac:dyDescent="0.25">
      <c r="A362" s="1">
        <v>28545</v>
      </c>
      <c r="B362">
        <v>9.15</v>
      </c>
      <c r="C362" s="11">
        <f t="shared" si="20"/>
        <v>9.1499999999999998E-2</v>
      </c>
      <c r="D362">
        <f t="shared" si="21"/>
        <v>1978</v>
      </c>
      <c r="E362" t="str">
        <f t="shared" si="22"/>
        <v>Feb-1978</v>
      </c>
      <c r="F362" s="12">
        <f t="shared" si="23"/>
        <v>6.36</v>
      </c>
    </row>
    <row r="363" spans="1:6" x14ac:dyDescent="0.25">
      <c r="A363" s="1">
        <v>28552</v>
      </c>
      <c r="B363">
        <v>9.15</v>
      </c>
      <c r="C363" s="11">
        <f t="shared" si="20"/>
        <v>9.1499999999999998E-2</v>
      </c>
      <c r="D363">
        <f t="shared" si="21"/>
        <v>1978</v>
      </c>
      <c r="E363" t="str">
        <f t="shared" si="22"/>
        <v>Mar-1978</v>
      </c>
      <c r="F363" s="12">
        <f t="shared" si="23"/>
        <v>6.36</v>
      </c>
    </row>
    <row r="364" spans="1:6" x14ac:dyDescent="0.25">
      <c r="A364" s="1">
        <v>28559</v>
      </c>
      <c r="B364">
        <v>9.15</v>
      </c>
      <c r="C364" s="11">
        <f t="shared" si="20"/>
        <v>9.1499999999999998E-2</v>
      </c>
      <c r="D364">
        <f t="shared" si="21"/>
        <v>1978</v>
      </c>
      <c r="E364" t="str">
        <f t="shared" si="22"/>
        <v>Mar-1978</v>
      </c>
      <c r="F364" s="12">
        <f t="shared" si="23"/>
        <v>6.36</v>
      </c>
    </row>
    <row r="365" spans="1:6" x14ac:dyDescent="0.25">
      <c r="A365" s="1">
        <v>28566</v>
      </c>
      <c r="B365">
        <v>9.23</v>
      </c>
      <c r="C365" s="11">
        <f t="shared" si="20"/>
        <v>9.2300000000000007E-2</v>
      </c>
      <c r="D365">
        <f t="shared" si="21"/>
        <v>1978</v>
      </c>
      <c r="E365" t="str">
        <f t="shared" si="22"/>
        <v>Mar-1978</v>
      </c>
      <c r="F365" s="12">
        <f t="shared" si="23"/>
        <v>6.36</v>
      </c>
    </row>
    <row r="366" spans="1:6" x14ac:dyDescent="0.25">
      <c r="A366" s="1">
        <v>28573</v>
      </c>
      <c r="B366">
        <v>9.23</v>
      </c>
      <c r="C366" s="11">
        <f t="shared" si="20"/>
        <v>9.2300000000000007E-2</v>
      </c>
      <c r="D366">
        <f t="shared" si="21"/>
        <v>1978</v>
      </c>
      <c r="E366" t="str">
        <f t="shared" si="22"/>
        <v>Mar-1978</v>
      </c>
      <c r="F366" s="12">
        <f t="shared" si="23"/>
        <v>6.36</v>
      </c>
    </row>
    <row r="367" spans="1:6" x14ac:dyDescent="0.25">
      <c r="A367" s="1">
        <v>28580</v>
      </c>
      <c r="B367">
        <v>9.25</v>
      </c>
      <c r="C367" s="11">
        <f t="shared" si="20"/>
        <v>9.2499999999999999E-2</v>
      </c>
      <c r="D367">
        <f t="shared" si="21"/>
        <v>1978</v>
      </c>
      <c r="E367" t="str">
        <f t="shared" si="22"/>
        <v>Mar-1978</v>
      </c>
      <c r="F367" s="12">
        <f t="shared" si="23"/>
        <v>6.36</v>
      </c>
    </row>
    <row r="368" spans="1:6" x14ac:dyDescent="0.25">
      <c r="A368" s="1">
        <v>28587</v>
      </c>
      <c r="B368">
        <v>9.2799999999999994</v>
      </c>
      <c r="C368" s="11">
        <f t="shared" si="20"/>
        <v>9.2799999999999994E-2</v>
      </c>
      <c r="D368">
        <f t="shared" si="21"/>
        <v>1978</v>
      </c>
      <c r="E368" t="str">
        <f t="shared" si="22"/>
        <v>Apr-1978</v>
      </c>
      <c r="F368" s="12">
        <f t="shared" si="23"/>
        <v>6.36</v>
      </c>
    </row>
    <row r="369" spans="1:6" x14ac:dyDescent="0.25">
      <c r="A369" s="1">
        <v>28594</v>
      </c>
      <c r="B369">
        <v>9.33</v>
      </c>
      <c r="C369" s="11">
        <f t="shared" si="20"/>
        <v>9.3299999999999994E-2</v>
      </c>
      <c r="D369">
        <f t="shared" si="21"/>
        <v>1978</v>
      </c>
      <c r="E369" t="str">
        <f t="shared" si="22"/>
        <v>Apr-1978</v>
      </c>
      <c r="F369" s="12">
        <f t="shared" si="23"/>
        <v>6.36</v>
      </c>
    </row>
    <row r="370" spans="1:6" x14ac:dyDescent="0.25">
      <c r="A370" s="1">
        <v>28601</v>
      </c>
      <c r="B370">
        <v>9.3800000000000008</v>
      </c>
      <c r="C370" s="11">
        <f t="shared" si="20"/>
        <v>9.3800000000000008E-2</v>
      </c>
      <c r="D370">
        <f t="shared" si="21"/>
        <v>1978</v>
      </c>
      <c r="E370" t="str">
        <f t="shared" si="22"/>
        <v>Apr-1978</v>
      </c>
      <c r="F370" s="12">
        <f t="shared" si="23"/>
        <v>6.36</v>
      </c>
    </row>
    <row r="371" spans="1:6" x14ac:dyDescent="0.25">
      <c r="A371" s="1">
        <v>28608</v>
      </c>
      <c r="B371">
        <v>9.43</v>
      </c>
      <c r="C371" s="11">
        <f t="shared" si="20"/>
        <v>9.4299999999999995E-2</v>
      </c>
      <c r="D371">
        <f t="shared" si="21"/>
        <v>1978</v>
      </c>
      <c r="E371" t="str">
        <f t="shared" si="22"/>
        <v>Apr-1978</v>
      </c>
      <c r="F371" s="12">
        <f t="shared" si="23"/>
        <v>6.36</v>
      </c>
    </row>
    <row r="372" spans="1:6" x14ac:dyDescent="0.25">
      <c r="A372" s="1">
        <v>28615</v>
      </c>
      <c r="B372">
        <v>9.48</v>
      </c>
      <c r="C372" s="11">
        <f t="shared" si="20"/>
        <v>9.4800000000000009E-2</v>
      </c>
      <c r="D372">
        <f t="shared" si="21"/>
        <v>1978</v>
      </c>
      <c r="E372" t="str">
        <f t="shared" si="22"/>
        <v>May-1978</v>
      </c>
      <c r="F372" s="12">
        <f t="shared" si="23"/>
        <v>6.36</v>
      </c>
    </row>
    <row r="373" spans="1:6" x14ac:dyDescent="0.25">
      <c r="A373" s="1">
        <v>28622</v>
      </c>
      <c r="B373">
        <v>9.5500000000000007</v>
      </c>
      <c r="C373" s="11">
        <f t="shared" si="20"/>
        <v>9.5500000000000002E-2</v>
      </c>
      <c r="D373">
        <f t="shared" si="21"/>
        <v>1978</v>
      </c>
      <c r="E373" t="str">
        <f t="shared" si="22"/>
        <v>May-1978</v>
      </c>
      <c r="F373" s="12">
        <f t="shared" si="23"/>
        <v>6.36</v>
      </c>
    </row>
    <row r="374" spans="1:6" x14ac:dyDescent="0.25">
      <c r="A374" s="1">
        <v>28629</v>
      </c>
      <c r="B374">
        <v>9.58</v>
      </c>
      <c r="C374" s="11">
        <f t="shared" si="20"/>
        <v>9.5799999999999996E-2</v>
      </c>
      <c r="D374">
        <f t="shared" si="21"/>
        <v>1978</v>
      </c>
      <c r="E374" t="str">
        <f t="shared" si="22"/>
        <v>May-1978</v>
      </c>
      <c r="F374" s="12">
        <f t="shared" si="23"/>
        <v>6.36</v>
      </c>
    </row>
    <row r="375" spans="1:6" x14ac:dyDescent="0.25">
      <c r="A375" s="1">
        <v>28636</v>
      </c>
      <c r="B375">
        <v>9.68</v>
      </c>
      <c r="C375" s="11">
        <f t="shared" si="20"/>
        <v>9.6799999999999997E-2</v>
      </c>
      <c r="D375">
        <f t="shared" si="21"/>
        <v>1978</v>
      </c>
      <c r="E375" t="str">
        <f t="shared" si="22"/>
        <v>May-1978</v>
      </c>
      <c r="F375" s="12">
        <f t="shared" si="23"/>
        <v>6.36</v>
      </c>
    </row>
    <row r="376" spans="1:6" x14ac:dyDescent="0.25">
      <c r="A376" s="1">
        <v>28643</v>
      </c>
      <c r="B376">
        <v>9.68</v>
      </c>
      <c r="C376" s="11">
        <f t="shared" si="20"/>
        <v>9.6799999999999997E-2</v>
      </c>
      <c r="D376">
        <f t="shared" si="21"/>
        <v>1978</v>
      </c>
      <c r="E376" t="str">
        <f t="shared" si="22"/>
        <v>Jun-1978</v>
      </c>
      <c r="F376" s="12">
        <f t="shared" si="23"/>
        <v>6.36</v>
      </c>
    </row>
    <row r="377" spans="1:6" x14ac:dyDescent="0.25">
      <c r="A377" s="1">
        <v>28650</v>
      </c>
      <c r="B377">
        <v>9.6999999999999993</v>
      </c>
      <c r="C377" s="11">
        <f t="shared" si="20"/>
        <v>9.6999999999999989E-2</v>
      </c>
      <c r="D377">
        <f t="shared" si="21"/>
        <v>1978</v>
      </c>
      <c r="E377" t="str">
        <f t="shared" si="22"/>
        <v>Jun-1978</v>
      </c>
      <c r="F377" s="12">
        <f t="shared" si="23"/>
        <v>6.36</v>
      </c>
    </row>
    <row r="378" spans="1:6" x14ac:dyDescent="0.25">
      <c r="A378" s="1">
        <v>28657</v>
      </c>
      <c r="B378">
        <v>9.73</v>
      </c>
      <c r="C378" s="11">
        <f t="shared" si="20"/>
        <v>9.7299999999999998E-2</v>
      </c>
      <c r="D378">
        <f t="shared" si="21"/>
        <v>1978</v>
      </c>
      <c r="E378" t="str">
        <f t="shared" si="22"/>
        <v>Jun-1978</v>
      </c>
      <c r="F378" s="12">
        <f t="shared" si="23"/>
        <v>6.36</v>
      </c>
    </row>
    <row r="379" spans="1:6" x14ac:dyDescent="0.25">
      <c r="A379" s="1">
        <v>28664</v>
      </c>
      <c r="B379">
        <v>9.6999999999999993</v>
      </c>
      <c r="C379" s="11">
        <f t="shared" si="20"/>
        <v>9.6999999999999989E-2</v>
      </c>
      <c r="D379">
        <f t="shared" si="21"/>
        <v>1978</v>
      </c>
      <c r="E379" t="str">
        <f t="shared" si="22"/>
        <v>Jun-1978</v>
      </c>
      <c r="F379" s="12">
        <f t="shared" si="23"/>
        <v>6.36</v>
      </c>
    </row>
    <row r="380" spans="1:6" x14ac:dyDescent="0.25">
      <c r="A380" s="1">
        <v>28671</v>
      </c>
      <c r="B380">
        <v>9.73</v>
      </c>
      <c r="C380" s="11">
        <f t="shared" si="20"/>
        <v>9.7299999999999998E-2</v>
      </c>
      <c r="D380">
        <f t="shared" si="21"/>
        <v>1978</v>
      </c>
      <c r="E380" t="str">
        <f t="shared" si="22"/>
        <v>Jun-1978</v>
      </c>
      <c r="F380" s="12">
        <f t="shared" si="23"/>
        <v>6.36</v>
      </c>
    </row>
    <row r="381" spans="1:6" x14ac:dyDescent="0.25">
      <c r="A381" s="1">
        <v>28678</v>
      </c>
      <c r="B381">
        <v>9.73</v>
      </c>
      <c r="C381" s="11">
        <f t="shared" si="20"/>
        <v>9.7299999999999998E-2</v>
      </c>
      <c r="D381">
        <f t="shared" si="21"/>
        <v>1978</v>
      </c>
      <c r="E381" t="str">
        <f t="shared" si="22"/>
        <v>Jul-1978</v>
      </c>
      <c r="F381" s="12">
        <f t="shared" si="23"/>
        <v>6.36</v>
      </c>
    </row>
    <row r="382" spans="1:6" x14ac:dyDescent="0.25">
      <c r="A382" s="1">
        <v>28685</v>
      </c>
      <c r="B382">
        <v>9.73</v>
      </c>
      <c r="C382" s="11">
        <f t="shared" si="20"/>
        <v>9.7299999999999998E-2</v>
      </c>
      <c r="D382">
        <f t="shared" si="21"/>
        <v>1978</v>
      </c>
      <c r="E382" t="str">
        <f t="shared" si="22"/>
        <v>Jul-1978</v>
      </c>
      <c r="F382" s="12">
        <f t="shared" si="23"/>
        <v>6.36</v>
      </c>
    </row>
    <row r="383" spans="1:6" x14ac:dyDescent="0.25">
      <c r="A383" s="1">
        <v>28692</v>
      </c>
      <c r="B383">
        <v>9.75</v>
      </c>
      <c r="C383" s="11">
        <f t="shared" si="20"/>
        <v>9.7500000000000003E-2</v>
      </c>
      <c r="D383">
        <f t="shared" si="21"/>
        <v>1978</v>
      </c>
      <c r="E383" t="str">
        <f t="shared" si="22"/>
        <v>Jul-1978</v>
      </c>
      <c r="F383" s="12">
        <f t="shared" si="23"/>
        <v>6.36</v>
      </c>
    </row>
    <row r="384" spans="1:6" x14ac:dyDescent="0.25">
      <c r="A384" s="1">
        <v>28699</v>
      </c>
      <c r="B384">
        <v>9.75</v>
      </c>
      <c r="C384" s="11">
        <f t="shared" si="20"/>
        <v>9.7500000000000003E-2</v>
      </c>
      <c r="D384">
        <f t="shared" si="21"/>
        <v>1978</v>
      </c>
      <c r="E384" t="str">
        <f t="shared" si="22"/>
        <v>Jul-1978</v>
      </c>
      <c r="F384" s="12">
        <f t="shared" si="23"/>
        <v>6.36</v>
      </c>
    </row>
    <row r="385" spans="1:6" x14ac:dyDescent="0.25">
      <c r="A385" s="1">
        <v>28706</v>
      </c>
      <c r="B385">
        <v>9.7799999999999994</v>
      </c>
      <c r="C385" s="11">
        <f t="shared" si="20"/>
        <v>9.7799999999999998E-2</v>
      </c>
      <c r="D385">
        <f t="shared" si="21"/>
        <v>1978</v>
      </c>
      <c r="E385" t="str">
        <f t="shared" si="22"/>
        <v>Aug-1978</v>
      </c>
      <c r="F385" s="12">
        <f t="shared" si="23"/>
        <v>6.36</v>
      </c>
    </row>
    <row r="386" spans="1:6" x14ac:dyDescent="0.25">
      <c r="A386" s="1">
        <v>28713</v>
      </c>
      <c r="B386">
        <v>9.7799999999999994</v>
      </c>
      <c r="C386" s="11">
        <f t="shared" ref="C386:C449" si="24">B386/100</f>
        <v>9.7799999999999998E-2</v>
      </c>
      <c r="D386">
        <f t="shared" ref="D386:D449" si="25">YEAR(A386)</f>
        <v>1978</v>
      </c>
      <c r="E386" t="str">
        <f t="shared" ref="E386:E449" si="26">TEXT(A386,"MMM-YYYY")</f>
        <v>Aug-1978</v>
      </c>
      <c r="F386" s="12">
        <f t="shared" ref="F386:F449" si="27">$H$2</f>
        <v>6.36</v>
      </c>
    </row>
    <row r="387" spans="1:6" x14ac:dyDescent="0.25">
      <c r="A387" s="1">
        <v>28720</v>
      </c>
      <c r="B387">
        <v>9.7799999999999994</v>
      </c>
      <c r="C387" s="11">
        <f t="shared" si="24"/>
        <v>9.7799999999999998E-2</v>
      </c>
      <c r="D387">
        <f t="shared" si="25"/>
        <v>1978</v>
      </c>
      <c r="E387" t="str">
        <f t="shared" si="26"/>
        <v>Aug-1978</v>
      </c>
      <c r="F387" s="12">
        <f t="shared" si="27"/>
        <v>6.36</v>
      </c>
    </row>
    <row r="388" spans="1:6" x14ac:dyDescent="0.25">
      <c r="A388" s="1">
        <v>28727</v>
      </c>
      <c r="B388">
        <v>9.8000000000000007</v>
      </c>
      <c r="C388" s="11">
        <f t="shared" si="24"/>
        <v>9.8000000000000004E-2</v>
      </c>
      <c r="D388">
        <f t="shared" si="25"/>
        <v>1978</v>
      </c>
      <c r="E388" t="str">
        <f t="shared" si="26"/>
        <v>Aug-1978</v>
      </c>
      <c r="F388" s="12">
        <f t="shared" si="27"/>
        <v>6.36</v>
      </c>
    </row>
    <row r="389" spans="1:6" x14ac:dyDescent="0.25">
      <c r="A389" s="1">
        <v>28734</v>
      </c>
      <c r="B389">
        <v>9.75</v>
      </c>
      <c r="C389" s="11">
        <f t="shared" si="24"/>
        <v>9.7500000000000003E-2</v>
      </c>
      <c r="D389">
        <f t="shared" si="25"/>
        <v>1978</v>
      </c>
      <c r="E389" t="str">
        <f t="shared" si="26"/>
        <v>Sep-1978</v>
      </c>
      <c r="F389" s="12">
        <f t="shared" si="27"/>
        <v>6.36</v>
      </c>
    </row>
    <row r="390" spans="1:6" x14ac:dyDescent="0.25">
      <c r="A390" s="1">
        <v>28741</v>
      </c>
      <c r="B390">
        <v>9.75</v>
      </c>
      <c r="C390" s="11">
        <f t="shared" si="24"/>
        <v>9.7500000000000003E-2</v>
      </c>
      <c r="D390">
        <f t="shared" si="25"/>
        <v>1978</v>
      </c>
      <c r="E390" t="str">
        <f t="shared" si="26"/>
        <v>Sep-1978</v>
      </c>
      <c r="F390" s="12">
        <f t="shared" si="27"/>
        <v>6.36</v>
      </c>
    </row>
    <row r="391" spans="1:6" x14ac:dyDescent="0.25">
      <c r="A391" s="1">
        <v>28748</v>
      </c>
      <c r="B391">
        <v>9.75</v>
      </c>
      <c r="C391" s="11">
        <f t="shared" si="24"/>
        <v>9.7500000000000003E-2</v>
      </c>
      <c r="D391">
        <f t="shared" si="25"/>
        <v>1978</v>
      </c>
      <c r="E391" t="str">
        <f t="shared" si="26"/>
        <v>Sep-1978</v>
      </c>
      <c r="F391" s="12">
        <f t="shared" si="27"/>
        <v>6.36</v>
      </c>
    </row>
    <row r="392" spans="1:6" x14ac:dyDescent="0.25">
      <c r="A392" s="1">
        <v>28755</v>
      </c>
      <c r="B392">
        <v>9.75</v>
      </c>
      <c r="C392" s="11">
        <f t="shared" si="24"/>
        <v>9.7500000000000003E-2</v>
      </c>
      <c r="D392">
        <f t="shared" si="25"/>
        <v>1978</v>
      </c>
      <c r="E392" t="str">
        <f t="shared" si="26"/>
        <v>Sep-1978</v>
      </c>
      <c r="F392" s="12">
        <f t="shared" si="27"/>
        <v>6.36</v>
      </c>
    </row>
    <row r="393" spans="1:6" x14ac:dyDescent="0.25">
      <c r="A393" s="1">
        <v>28762</v>
      </c>
      <c r="B393">
        <v>9.7799999999999994</v>
      </c>
      <c r="C393" s="11">
        <f t="shared" si="24"/>
        <v>9.7799999999999998E-2</v>
      </c>
      <c r="D393">
        <f t="shared" si="25"/>
        <v>1978</v>
      </c>
      <c r="E393" t="str">
        <f t="shared" si="26"/>
        <v>Sep-1978</v>
      </c>
      <c r="F393" s="12">
        <f t="shared" si="27"/>
        <v>6.36</v>
      </c>
    </row>
    <row r="394" spans="1:6" x14ac:dyDescent="0.25">
      <c r="A394" s="1">
        <v>28769</v>
      </c>
      <c r="B394">
        <v>9.85</v>
      </c>
      <c r="C394" s="11">
        <f t="shared" si="24"/>
        <v>9.849999999999999E-2</v>
      </c>
      <c r="D394">
        <f t="shared" si="25"/>
        <v>1978</v>
      </c>
      <c r="E394" t="str">
        <f t="shared" si="26"/>
        <v>Oct-1978</v>
      </c>
      <c r="F394" s="12">
        <f t="shared" si="27"/>
        <v>6.36</v>
      </c>
    </row>
    <row r="395" spans="1:6" x14ac:dyDescent="0.25">
      <c r="A395" s="1">
        <v>28776</v>
      </c>
      <c r="B395">
        <v>9.85</v>
      </c>
      <c r="C395" s="11">
        <f t="shared" si="24"/>
        <v>9.849999999999999E-2</v>
      </c>
      <c r="D395">
        <f t="shared" si="25"/>
        <v>1978</v>
      </c>
      <c r="E395" t="str">
        <f t="shared" si="26"/>
        <v>Oct-1978</v>
      </c>
      <c r="F395" s="12">
        <f t="shared" si="27"/>
        <v>6.36</v>
      </c>
    </row>
    <row r="396" spans="1:6" x14ac:dyDescent="0.25">
      <c r="A396" s="1">
        <v>28783</v>
      </c>
      <c r="B396">
        <v>9.85</v>
      </c>
      <c r="C396" s="11">
        <f t="shared" si="24"/>
        <v>9.849999999999999E-2</v>
      </c>
      <c r="D396">
        <f t="shared" si="25"/>
        <v>1978</v>
      </c>
      <c r="E396" t="str">
        <f t="shared" si="26"/>
        <v>Oct-1978</v>
      </c>
      <c r="F396" s="12">
        <f t="shared" si="27"/>
        <v>6.36</v>
      </c>
    </row>
    <row r="397" spans="1:6" x14ac:dyDescent="0.25">
      <c r="A397" s="1">
        <v>28790</v>
      </c>
      <c r="B397">
        <v>9.8800000000000008</v>
      </c>
      <c r="C397" s="11">
        <f t="shared" si="24"/>
        <v>9.8800000000000013E-2</v>
      </c>
      <c r="D397">
        <f t="shared" si="25"/>
        <v>1978</v>
      </c>
      <c r="E397" t="str">
        <f t="shared" si="26"/>
        <v>Oct-1978</v>
      </c>
      <c r="F397" s="12">
        <f t="shared" si="27"/>
        <v>6.36</v>
      </c>
    </row>
    <row r="398" spans="1:6" x14ac:dyDescent="0.25">
      <c r="A398" s="1">
        <v>28797</v>
      </c>
      <c r="B398">
        <v>9.9</v>
      </c>
      <c r="C398" s="11">
        <f t="shared" si="24"/>
        <v>9.9000000000000005E-2</v>
      </c>
      <c r="D398">
        <f t="shared" si="25"/>
        <v>1978</v>
      </c>
      <c r="E398" t="str">
        <f t="shared" si="26"/>
        <v>Nov-1978</v>
      </c>
      <c r="F398" s="12">
        <f t="shared" si="27"/>
        <v>6.36</v>
      </c>
    </row>
    <row r="399" spans="1:6" x14ac:dyDescent="0.25">
      <c r="A399" s="1">
        <v>28804</v>
      </c>
      <c r="B399">
        <v>10.050000000000001</v>
      </c>
      <c r="C399" s="11">
        <f t="shared" si="24"/>
        <v>0.10050000000000001</v>
      </c>
      <c r="D399">
        <f t="shared" si="25"/>
        <v>1978</v>
      </c>
      <c r="E399" t="str">
        <f t="shared" si="26"/>
        <v>Nov-1978</v>
      </c>
      <c r="F399" s="12">
        <f t="shared" si="27"/>
        <v>6.36</v>
      </c>
    </row>
    <row r="400" spans="1:6" x14ac:dyDescent="0.25">
      <c r="A400" s="1">
        <v>28811</v>
      </c>
      <c r="B400">
        <v>10.199999999999999</v>
      </c>
      <c r="C400" s="11">
        <f t="shared" si="24"/>
        <v>0.10199999999999999</v>
      </c>
      <c r="D400">
        <f t="shared" si="25"/>
        <v>1978</v>
      </c>
      <c r="E400" t="str">
        <f t="shared" si="26"/>
        <v>Nov-1978</v>
      </c>
      <c r="F400" s="12">
        <f t="shared" si="27"/>
        <v>6.36</v>
      </c>
    </row>
    <row r="401" spans="1:6" x14ac:dyDescent="0.25">
      <c r="A401" s="1">
        <v>28818</v>
      </c>
      <c r="B401">
        <v>10.28</v>
      </c>
      <c r="C401" s="11">
        <f t="shared" si="24"/>
        <v>0.10279999999999999</v>
      </c>
      <c r="D401">
        <f t="shared" si="25"/>
        <v>1978</v>
      </c>
      <c r="E401" t="str">
        <f t="shared" si="26"/>
        <v>Nov-1978</v>
      </c>
      <c r="F401" s="12">
        <f t="shared" si="27"/>
        <v>6.36</v>
      </c>
    </row>
    <row r="402" spans="1:6" x14ac:dyDescent="0.25">
      <c r="A402" s="1">
        <v>28825</v>
      </c>
      <c r="B402">
        <v>10.3</v>
      </c>
      <c r="C402" s="11">
        <f t="shared" si="24"/>
        <v>0.10300000000000001</v>
      </c>
      <c r="D402">
        <f t="shared" si="25"/>
        <v>1978</v>
      </c>
      <c r="E402" t="str">
        <f t="shared" si="26"/>
        <v>Dec-1978</v>
      </c>
      <c r="F402" s="12">
        <f t="shared" si="27"/>
        <v>6.36</v>
      </c>
    </row>
    <row r="403" spans="1:6" x14ac:dyDescent="0.25">
      <c r="A403" s="1">
        <v>28832</v>
      </c>
      <c r="B403">
        <v>10.35</v>
      </c>
      <c r="C403" s="11">
        <f t="shared" si="24"/>
        <v>0.10349999999999999</v>
      </c>
      <c r="D403">
        <f t="shared" si="25"/>
        <v>1978</v>
      </c>
      <c r="E403" t="str">
        <f t="shared" si="26"/>
        <v>Dec-1978</v>
      </c>
      <c r="F403" s="12">
        <f t="shared" si="27"/>
        <v>6.36</v>
      </c>
    </row>
    <row r="404" spans="1:6" x14ac:dyDescent="0.25">
      <c r="A404" s="1">
        <v>28839</v>
      </c>
      <c r="B404">
        <v>10.35</v>
      </c>
      <c r="C404" s="11">
        <f t="shared" si="24"/>
        <v>0.10349999999999999</v>
      </c>
      <c r="D404">
        <f t="shared" si="25"/>
        <v>1978</v>
      </c>
      <c r="E404" t="str">
        <f t="shared" si="26"/>
        <v>Dec-1978</v>
      </c>
      <c r="F404" s="12">
        <f t="shared" si="27"/>
        <v>6.36</v>
      </c>
    </row>
    <row r="405" spans="1:6" x14ac:dyDescent="0.25">
      <c r="A405" s="1">
        <v>28846</v>
      </c>
      <c r="B405">
        <v>10.35</v>
      </c>
      <c r="C405" s="11">
        <f t="shared" si="24"/>
        <v>0.10349999999999999</v>
      </c>
      <c r="D405">
        <f t="shared" si="25"/>
        <v>1978</v>
      </c>
      <c r="E405" t="str">
        <f t="shared" si="26"/>
        <v>Dec-1978</v>
      </c>
      <c r="F405" s="12">
        <f t="shared" si="27"/>
        <v>6.36</v>
      </c>
    </row>
    <row r="406" spans="1:6" x14ac:dyDescent="0.25">
      <c r="A406" s="1">
        <v>28853</v>
      </c>
      <c r="B406">
        <v>10.38</v>
      </c>
      <c r="C406" s="11">
        <f t="shared" si="24"/>
        <v>0.1038</v>
      </c>
      <c r="D406">
        <f t="shared" si="25"/>
        <v>1978</v>
      </c>
      <c r="E406" t="str">
        <f t="shared" si="26"/>
        <v>Dec-1978</v>
      </c>
      <c r="F406" s="12">
        <f t="shared" si="27"/>
        <v>6.36</v>
      </c>
    </row>
    <row r="407" spans="1:6" x14ac:dyDescent="0.25">
      <c r="A407" s="1">
        <v>28860</v>
      </c>
      <c r="B407">
        <v>10.38</v>
      </c>
      <c r="C407" s="11">
        <f t="shared" si="24"/>
        <v>0.1038</v>
      </c>
      <c r="D407">
        <f t="shared" si="25"/>
        <v>1979</v>
      </c>
      <c r="E407" t="str">
        <f t="shared" si="26"/>
        <v>Jan-1979</v>
      </c>
      <c r="F407" s="12">
        <f t="shared" si="27"/>
        <v>6.36</v>
      </c>
    </row>
    <row r="408" spans="1:6" x14ac:dyDescent="0.25">
      <c r="A408" s="1">
        <v>28867</v>
      </c>
      <c r="B408">
        <v>10.38</v>
      </c>
      <c r="C408" s="11">
        <f t="shared" si="24"/>
        <v>0.1038</v>
      </c>
      <c r="D408">
        <f t="shared" si="25"/>
        <v>1979</v>
      </c>
      <c r="E408" t="str">
        <f t="shared" si="26"/>
        <v>Jan-1979</v>
      </c>
      <c r="F408" s="12">
        <f t="shared" si="27"/>
        <v>6.36</v>
      </c>
    </row>
    <row r="409" spans="1:6" x14ac:dyDescent="0.25">
      <c r="A409" s="1">
        <v>28874</v>
      </c>
      <c r="B409">
        <v>10.4</v>
      </c>
      <c r="C409" s="11">
        <f t="shared" si="24"/>
        <v>0.10400000000000001</v>
      </c>
      <c r="D409">
        <f t="shared" si="25"/>
        <v>1979</v>
      </c>
      <c r="E409" t="str">
        <f t="shared" si="26"/>
        <v>Jan-1979</v>
      </c>
      <c r="F409" s="12">
        <f t="shared" si="27"/>
        <v>6.36</v>
      </c>
    </row>
    <row r="410" spans="1:6" x14ac:dyDescent="0.25">
      <c r="A410" s="1">
        <v>28881</v>
      </c>
      <c r="B410">
        <v>10.4</v>
      </c>
      <c r="C410" s="11">
        <f t="shared" si="24"/>
        <v>0.10400000000000001</v>
      </c>
      <c r="D410">
        <f t="shared" si="25"/>
        <v>1979</v>
      </c>
      <c r="E410" t="str">
        <f t="shared" si="26"/>
        <v>Jan-1979</v>
      </c>
      <c r="F410" s="12">
        <f t="shared" si="27"/>
        <v>6.36</v>
      </c>
    </row>
    <row r="411" spans="1:6" x14ac:dyDescent="0.25">
      <c r="A411" s="1">
        <v>28888</v>
      </c>
      <c r="B411">
        <v>10.4</v>
      </c>
      <c r="C411" s="11">
        <f t="shared" si="24"/>
        <v>0.10400000000000001</v>
      </c>
      <c r="D411">
        <f t="shared" si="25"/>
        <v>1979</v>
      </c>
      <c r="E411" t="str">
        <f t="shared" si="26"/>
        <v>Feb-1979</v>
      </c>
      <c r="F411" s="12">
        <f t="shared" si="27"/>
        <v>6.36</v>
      </c>
    </row>
    <row r="412" spans="1:6" x14ac:dyDescent="0.25">
      <c r="A412" s="1">
        <v>28895</v>
      </c>
      <c r="B412">
        <v>10.43</v>
      </c>
      <c r="C412" s="11">
        <f t="shared" si="24"/>
        <v>0.1043</v>
      </c>
      <c r="D412">
        <f t="shared" si="25"/>
        <v>1979</v>
      </c>
      <c r="E412" t="str">
        <f t="shared" si="26"/>
        <v>Feb-1979</v>
      </c>
      <c r="F412" s="12">
        <f t="shared" si="27"/>
        <v>6.36</v>
      </c>
    </row>
    <row r="413" spans="1:6" x14ac:dyDescent="0.25">
      <c r="A413" s="1">
        <v>28902</v>
      </c>
      <c r="B413">
        <v>10.4</v>
      </c>
      <c r="C413" s="11">
        <f t="shared" si="24"/>
        <v>0.10400000000000001</v>
      </c>
      <c r="D413">
        <f t="shared" si="25"/>
        <v>1979</v>
      </c>
      <c r="E413" t="str">
        <f t="shared" si="26"/>
        <v>Feb-1979</v>
      </c>
      <c r="F413" s="12">
        <f t="shared" si="27"/>
        <v>6.36</v>
      </c>
    </row>
    <row r="414" spans="1:6" x14ac:dyDescent="0.25">
      <c r="A414" s="1">
        <v>28909</v>
      </c>
      <c r="B414">
        <v>10.4</v>
      </c>
      <c r="C414" s="11">
        <f t="shared" si="24"/>
        <v>0.10400000000000001</v>
      </c>
      <c r="D414">
        <f t="shared" si="25"/>
        <v>1979</v>
      </c>
      <c r="E414" t="str">
        <f t="shared" si="26"/>
        <v>Feb-1979</v>
      </c>
      <c r="F414" s="12">
        <f t="shared" si="27"/>
        <v>6.36</v>
      </c>
    </row>
    <row r="415" spans="1:6" x14ac:dyDescent="0.25">
      <c r="A415" s="1">
        <v>28916</v>
      </c>
      <c r="B415">
        <v>10.43</v>
      </c>
      <c r="C415" s="11">
        <f t="shared" si="24"/>
        <v>0.1043</v>
      </c>
      <c r="D415">
        <f t="shared" si="25"/>
        <v>1979</v>
      </c>
      <c r="E415" t="str">
        <f t="shared" si="26"/>
        <v>Mar-1979</v>
      </c>
      <c r="F415" s="12">
        <f t="shared" si="27"/>
        <v>6.36</v>
      </c>
    </row>
    <row r="416" spans="1:6" x14ac:dyDescent="0.25">
      <c r="A416" s="1">
        <v>28923</v>
      </c>
      <c r="B416">
        <v>10.4</v>
      </c>
      <c r="C416" s="11">
        <f t="shared" si="24"/>
        <v>0.10400000000000001</v>
      </c>
      <c r="D416">
        <f t="shared" si="25"/>
        <v>1979</v>
      </c>
      <c r="E416" t="str">
        <f t="shared" si="26"/>
        <v>Mar-1979</v>
      </c>
      <c r="F416" s="12">
        <f t="shared" si="27"/>
        <v>6.36</v>
      </c>
    </row>
    <row r="417" spans="1:6" x14ac:dyDescent="0.25">
      <c r="A417" s="1">
        <v>28930</v>
      </c>
      <c r="B417">
        <v>10.4</v>
      </c>
      <c r="C417" s="11">
        <f t="shared" si="24"/>
        <v>0.10400000000000001</v>
      </c>
      <c r="D417">
        <f t="shared" si="25"/>
        <v>1979</v>
      </c>
      <c r="E417" t="str">
        <f t="shared" si="26"/>
        <v>Mar-1979</v>
      </c>
      <c r="F417" s="12">
        <f t="shared" si="27"/>
        <v>6.36</v>
      </c>
    </row>
    <row r="418" spans="1:6" x14ac:dyDescent="0.25">
      <c r="A418" s="1">
        <v>28937</v>
      </c>
      <c r="B418">
        <v>10.45</v>
      </c>
      <c r="C418" s="11">
        <f t="shared" si="24"/>
        <v>0.1045</v>
      </c>
      <c r="D418">
        <f t="shared" si="25"/>
        <v>1979</v>
      </c>
      <c r="E418" t="str">
        <f t="shared" si="26"/>
        <v>Mar-1979</v>
      </c>
      <c r="F418" s="12">
        <f t="shared" si="27"/>
        <v>6.36</v>
      </c>
    </row>
    <row r="419" spans="1:6" x14ac:dyDescent="0.25">
      <c r="A419" s="1">
        <v>28944</v>
      </c>
      <c r="B419">
        <v>10.45</v>
      </c>
      <c r="C419" s="11">
        <f t="shared" si="24"/>
        <v>0.1045</v>
      </c>
      <c r="D419">
        <f t="shared" si="25"/>
        <v>1979</v>
      </c>
      <c r="E419" t="str">
        <f t="shared" si="26"/>
        <v>Mar-1979</v>
      </c>
      <c r="F419" s="12">
        <f t="shared" si="27"/>
        <v>6.36</v>
      </c>
    </row>
    <row r="420" spans="1:6" x14ac:dyDescent="0.25">
      <c r="A420" s="1">
        <v>28951</v>
      </c>
      <c r="B420">
        <v>10.48</v>
      </c>
      <c r="C420" s="11">
        <f t="shared" si="24"/>
        <v>0.1048</v>
      </c>
      <c r="D420">
        <f t="shared" si="25"/>
        <v>1979</v>
      </c>
      <c r="E420" t="str">
        <f t="shared" si="26"/>
        <v>Apr-1979</v>
      </c>
      <c r="F420" s="12">
        <f t="shared" si="27"/>
        <v>6.36</v>
      </c>
    </row>
    <row r="421" spans="1:6" x14ac:dyDescent="0.25">
      <c r="A421" s="1">
        <v>28958</v>
      </c>
      <c r="B421">
        <v>10.48</v>
      </c>
      <c r="C421" s="11">
        <f t="shared" si="24"/>
        <v>0.1048</v>
      </c>
      <c r="D421">
        <f t="shared" si="25"/>
        <v>1979</v>
      </c>
      <c r="E421" t="str">
        <f t="shared" si="26"/>
        <v>Apr-1979</v>
      </c>
      <c r="F421" s="12">
        <f t="shared" si="27"/>
        <v>6.36</v>
      </c>
    </row>
    <row r="422" spans="1:6" x14ac:dyDescent="0.25">
      <c r="A422" s="1">
        <v>28965</v>
      </c>
      <c r="B422">
        <v>10.5</v>
      </c>
      <c r="C422" s="11">
        <f t="shared" si="24"/>
        <v>0.105</v>
      </c>
      <c r="D422">
        <f t="shared" si="25"/>
        <v>1979</v>
      </c>
      <c r="E422" t="str">
        <f t="shared" si="26"/>
        <v>Apr-1979</v>
      </c>
      <c r="F422" s="12">
        <f t="shared" si="27"/>
        <v>6.36</v>
      </c>
    </row>
    <row r="423" spans="1:6" x14ac:dyDescent="0.25">
      <c r="A423" s="1">
        <v>28972</v>
      </c>
      <c r="B423">
        <v>10.53</v>
      </c>
      <c r="C423" s="11">
        <f t="shared" si="24"/>
        <v>0.10529999999999999</v>
      </c>
      <c r="D423">
        <f t="shared" si="25"/>
        <v>1979</v>
      </c>
      <c r="E423" t="str">
        <f t="shared" si="26"/>
        <v>Apr-1979</v>
      </c>
      <c r="F423" s="12">
        <f t="shared" si="27"/>
        <v>6.36</v>
      </c>
    </row>
    <row r="424" spans="1:6" x14ac:dyDescent="0.25">
      <c r="A424" s="1">
        <v>28979</v>
      </c>
      <c r="B424">
        <v>10.6</v>
      </c>
      <c r="C424" s="11">
        <f t="shared" si="24"/>
        <v>0.106</v>
      </c>
      <c r="D424">
        <f t="shared" si="25"/>
        <v>1979</v>
      </c>
      <c r="E424" t="str">
        <f t="shared" si="26"/>
        <v>May-1979</v>
      </c>
      <c r="F424" s="12">
        <f t="shared" si="27"/>
        <v>6.36</v>
      </c>
    </row>
    <row r="425" spans="1:6" x14ac:dyDescent="0.25">
      <c r="A425" s="1">
        <v>28986</v>
      </c>
      <c r="B425">
        <v>10.68</v>
      </c>
      <c r="C425" s="11">
        <f t="shared" si="24"/>
        <v>0.10679999999999999</v>
      </c>
      <c r="D425">
        <f t="shared" si="25"/>
        <v>1979</v>
      </c>
      <c r="E425" t="str">
        <f t="shared" si="26"/>
        <v>May-1979</v>
      </c>
      <c r="F425" s="12">
        <f t="shared" si="27"/>
        <v>6.36</v>
      </c>
    </row>
    <row r="426" spans="1:6" x14ac:dyDescent="0.25">
      <c r="A426" s="1">
        <v>28993</v>
      </c>
      <c r="B426">
        <v>10.73</v>
      </c>
      <c r="C426" s="11">
        <f t="shared" si="24"/>
        <v>0.10730000000000001</v>
      </c>
      <c r="D426">
        <f t="shared" si="25"/>
        <v>1979</v>
      </c>
      <c r="E426" t="str">
        <f t="shared" si="26"/>
        <v>May-1979</v>
      </c>
      <c r="F426" s="12">
        <f t="shared" si="27"/>
        <v>6.36</v>
      </c>
    </row>
    <row r="427" spans="1:6" x14ac:dyDescent="0.25">
      <c r="A427" s="1">
        <v>29000</v>
      </c>
      <c r="B427">
        <v>10.75</v>
      </c>
      <c r="C427" s="11">
        <f t="shared" si="24"/>
        <v>0.1075</v>
      </c>
      <c r="D427">
        <f t="shared" si="25"/>
        <v>1979</v>
      </c>
      <c r="E427" t="str">
        <f t="shared" si="26"/>
        <v>May-1979</v>
      </c>
      <c r="F427" s="12">
        <f t="shared" si="27"/>
        <v>6.36</v>
      </c>
    </row>
    <row r="428" spans="1:6" x14ac:dyDescent="0.25">
      <c r="A428" s="1">
        <v>29007</v>
      </c>
      <c r="B428">
        <v>10.9</v>
      </c>
      <c r="C428" s="11">
        <f t="shared" si="24"/>
        <v>0.109</v>
      </c>
      <c r="D428">
        <f t="shared" si="25"/>
        <v>1979</v>
      </c>
      <c r="E428" t="str">
        <f t="shared" si="26"/>
        <v>Jun-1979</v>
      </c>
      <c r="F428" s="12">
        <f t="shared" si="27"/>
        <v>6.36</v>
      </c>
    </row>
    <row r="429" spans="1:6" x14ac:dyDescent="0.25">
      <c r="A429" s="1">
        <v>29014</v>
      </c>
      <c r="B429">
        <v>11.03</v>
      </c>
      <c r="C429" s="11">
        <f t="shared" si="24"/>
        <v>0.1103</v>
      </c>
      <c r="D429">
        <f t="shared" si="25"/>
        <v>1979</v>
      </c>
      <c r="E429" t="str">
        <f t="shared" si="26"/>
        <v>Jun-1979</v>
      </c>
      <c r="F429" s="12">
        <f t="shared" si="27"/>
        <v>6.36</v>
      </c>
    </row>
    <row r="430" spans="1:6" x14ac:dyDescent="0.25">
      <c r="A430" s="1">
        <v>29021</v>
      </c>
      <c r="B430">
        <v>11.05</v>
      </c>
      <c r="C430" s="11">
        <f t="shared" si="24"/>
        <v>0.1105</v>
      </c>
      <c r="D430">
        <f t="shared" si="25"/>
        <v>1979</v>
      </c>
      <c r="E430" t="str">
        <f t="shared" si="26"/>
        <v>Jun-1979</v>
      </c>
      <c r="F430" s="12">
        <f t="shared" si="27"/>
        <v>6.36</v>
      </c>
    </row>
    <row r="431" spans="1:6" x14ac:dyDescent="0.25">
      <c r="A431" s="1">
        <v>29028</v>
      </c>
      <c r="B431">
        <v>11.1</v>
      </c>
      <c r="C431" s="11">
        <f t="shared" si="24"/>
        <v>0.111</v>
      </c>
      <c r="D431">
        <f t="shared" si="25"/>
        <v>1979</v>
      </c>
      <c r="E431" t="str">
        <f t="shared" si="26"/>
        <v>Jun-1979</v>
      </c>
      <c r="F431" s="12">
        <f t="shared" si="27"/>
        <v>6.36</v>
      </c>
    </row>
    <row r="432" spans="1:6" x14ac:dyDescent="0.25">
      <c r="A432" s="1">
        <v>29035</v>
      </c>
      <c r="B432">
        <v>11.1</v>
      </c>
      <c r="C432" s="11">
        <f t="shared" si="24"/>
        <v>0.111</v>
      </c>
      <c r="D432">
        <f t="shared" si="25"/>
        <v>1979</v>
      </c>
      <c r="E432" t="str">
        <f t="shared" si="26"/>
        <v>Jun-1979</v>
      </c>
      <c r="F432" s="12">
        <f t="shared" si="27"/>
        <v>6.36</v>
      </c>
    </row>
    <row r="433" spans="1:6" x14ac:dyDescent="0.25">
      <c r="A433" s="1">
        <v>29042</v>
      </c>
      <c r="B433">
        <v>11.13</v>
      </c>
      <c r="C433" s="11">
        <f t="shared" si="24"/>
        <v>0.11130000000000001</v>
      </c>
      <c r="D433">
        <f t="shared" si="25"/>
        <v>1979</v>
      </c>
      <c r="E433" t="str">
        <f t="shared" si="26"/>
        <v>Jul-1979</v>
      </c>
      <c r="F433" s="12">
        <f t="shared" si="27"/>
        <v>6.36</v>
      </c>
    </row>
    <row r="434" spans="1:6" x14ac:dyDescent="0.25">
      <c r="A434" s="1">
        <v>29049</v>
      </c>
      <c r="B434">
        <v>11.08</v>
      </c>
      <c r="C434" s="11">
        <f t="shared" si="24"/>
        <v>0.1108</v>
      </c>
      <c r="D434">
        <f t="shared" si="25"/>
        <v>1979</v>
      </c>
      <c r="E434" t="str">
        <f t="shared" si="26"/>
        <v>Jul-1979</v>
      </c>
      <c r="F434" s="12">
        <f t="shared" si="27"/>
        <v>6.36</v>
      </c>
    </row>
    <row r="435" spans="1:6" x14ac:dyDescent="0.25">
      <c r="A435" s="1">
        <v>29056</v>
      </c>
      <c r="B435">
        <v>11.08</v>
      </c>
      <c r="C435" s="11">
        <f t="shared" si="24"/>
        <v>0.1108</v>
      </c>
      <c r="D435">
        <f t="shared" si="25"/>
        <v>1979</v>
      </c>
      <c r="E435" t="str">
        <f t="shared" si="26"/>
        <v>Jul-1979</v>
      </c>
      <c r="F435" s="12">
        <f t="shared" si="27"/>
        <v>6.36</v>
      </c>
    </row>
    <row r="436" spans="1:6" x14ac:dyDescent="0.25">
      <c r="A436" s="1">
        <v>29063</v>
      </c>
      <c r="B436">
        <v>11.08</v>
      </c>
      <c r="C436" s="11">
        <f t="shared" si="24"/>
        <v>0.1108</v>
      </c>
      <c r="D436">
        <f t="shared" si="25"/>
        <v>1979</v>
      </c>
      <c r="E436" t="str">
        <f t="shared" si="26"/>
        <v>Jul-1979</v>
      </c>
      <c r="F436" s="12">
        <f t="shared" si="27"/>
        <v>6.36</v>
      </c>
    </row>
    <row r="437" spans="1:6" x14ac:dyDescent="0.25">
      <c r="A437" s="1">
        <v>29070</v>
      </c>
      <c r="B437">
        <v>11.08</v>
      </c>
      <c r="C437" s="11">
        <f t="shared" si="24"/>
        <v>0.1108</v>
      </c>
      <c r="D437">
        <f t="shared" si="25"/>
        <v>1979</v>
      </c>
      <c r="E437" t="str">
        <f t="shared" si="26"/>
        <v>Aug-1979</v>
      </c>
      <c r="F437" s="12">
        <f t="shared" si="27"/>
        <v>6.36</v>
      </c>
    </row>
    <row r="438" spans="1:6" x14ac:dyDescent="0.25">
      <c r="A438" s="1">
        <v>29077</v>
      </c>
      <c r="B438">
        <v>11.08</v>
      </c>
      <c r="C438" s="11">
        <f t="shared" si="24"/>
        <v>0.1108</v>
      </c>
      <c r="D438">
        <f t="shared" si="25"/>
        <v>1979</v>
      </c>
      <c r="E438" t="str">
        <f t="shared" si="26"/>
        <v>Aug-1979</v>
      </c>
      <c r="F438" s="12">
        <f t="shared" si="27"/>
        <v>6.36</v>
      </c>
    </row>
    <row r="439" spans="1:6" x14ac:dyDescent="0.25">
      <c r="A439" s="1">
        <v>29084</v>
      </c>
      <c r="B439">
        <v>11.08</v>
      </c>
      <c r="C439" s="11">
        <f t="shared" si="24"/>
        <v>0.1108</v>
      </c>
      <c r="D439">
        <f t="shared" si="25"/>
        <v>1979</v>
      </c>
      <c r="E439" t="str">
        <f t="shared" si="26"/>
        <v>Aug-1979</v>
      </c>
      <c r="F439" s="12">
        <f t="shared" si="27"/>
        <v>6.36</v>
      </c>
    </row>
    <row r="440" spans="1:6" x14ac:dyDescent="0.25">
      <c r="A440" s="1">
        <v>29091</v>
      </c>
      <c r="B440">
        <v>11.1</v>
      </c>
      <c r="C440" s="11">
        <f t="shared" si="24"/>
        <v>0.111</v>
      </c>
      <c r="D440">
        <f t="shared" si="25"/>
        <v>1979</v>
      </c>
      <c r="E440" t="str">
        <f t="shared" si="26"/>
        <v>Aug-1979</v>
      </c>
      <c r="F440" s="12">
        <f t="shared" si="27"/>
        <v>6.36</v>
      </c>
    </row>
    <row r="441" spans="1:6" x14ac:dyDescent="0.25">
      <c r="A441" s="1">
        <v>29098</v>
      </c>
      <c r="B441">
        <v>11.13</v>
      </c>
      <c r="C441" s="11">
        <f t="shared" si="24"/>
        <v>0.11130000000000001</v>
      </c>
      <c r="D441">
        <f t="shared" si="25"/>
        <v>1979</v>
      </c>
      <c r="E441" t="str">
        <f t="shared" si="26"/>
        <v>Aug-1979</v>
      </c>
      <c r="F441" s="12">
        <f t="shared" si="27"/>
        <v>6.36</v>
      </c>
    </row>
    <row r="442" spans="1:6" x14ac:dyDescent="0.25">
      <c r="A442" s="1">
        <v>29105</v>
      </c>
      <c r="B442">
        <v>11.2</v>
      </c>
      <c r="C442" s="11">
        <f t="shared" si="24"/>
        <v>0.11199999999999999</v>
      </c>
      <c r="D442">
        <f t="shared" si="25"/>
        <v>1979</v>
      </c>
      <c r="E442" t="str">
        <f t="shared" si="26"/>
        <v>Sep-1979</v>
      </c>
      <c r="F442" s="12">
        <f t="shared" si="27"/>
        <v>6.36</v>
      </c>
    </row>
    <row r="443" spans="1:6" x14ac:dyDescent="0.25">
      <c r="A443" s="1">
        <v>29112</v>
      </c>
      <c r="B443">
        <v>11.3</v>
      </c>
      <c r="C443" s="11">
        <f t="shared" si="24"/>
        <v>0.113</v>
      </c>
      <c r="D443">
        <f t="shared" si="25"/>
        <v>1979</v>
      </c>
      <c r="E443" t="str">
        <f t="shared" si="26"/>
        <v>Sep-1979</v>
      </c>
      <c r="F443" s="12">
        <f t="shared" si="27"/>
        <v>6.36</v>
      </c>
    </row>
    <row r="444" spans="1:6" x14ac:dyDescent="0.25">
      <c r="A444" s="1">
        <v>29119</v>
      </c>
      <c r="B444">
        <v>11.35</v>
      </c>
      <c r="C444" s="11">
        <f t="shared" si="24"/>
        <v>0.11349999999999999</v>
      </c>
      <c r="D444">
        <f t="shared" si="25"/>
        <v>1979</v>
      </c>
      <c r="E444" t="str">
        <f t="shared" si="26"/>
        <v>Sep-1979</v>
      </c>
      <c r="F444" s="12">
        <f t="shared" si="27"/>
        <v>6.36</v>
      </c>
    </row>
    <row r="445" spans="1:6" x14ac:dyDescent="0.25">
      <c r="A445" s="1">
        <v>29126</v>
      </c>
      <c r="B445">
        <v>11.35</v>
      </c>
      <c r="C445" s="11">
        <f t="shared" si="24"/>
        <v>0.11349999999999999</v>
      </c>
      <c r="D445">
        <f t="shared" si="25"/>
        <v>1979</v>
      </c>
      <c r="E445" t="str">
        <f t="shared" si="26"/>
        <v>Sep-1979</v>
      </c>
      <c r="F445" s="12">
        <f t="shared" si="27"/>
        <v>6.36</v>
      </c>
    </row>
    <row r="446" spans="1:6" x14ac:dyDescent="0.25">
      <c r="A446" s="1">
        <v>29133</v>
      </c>
      <c r="B446">
        <v>11.35</v>
      </c>
      <c r="C446" s="11">
        <f t="shared" si="24"/>
        <v>0.11349999999999999</v>
      </c>
      <c r="D446">
        <f t="shared" si="25"/>
        <v>1979</v>
      </c>
      <c r="E446" t="str">
        <f t="shared" si="26"/>
        <v>Oct-1979</v>
      </c>
      <c r="F446" s="12">
        <f t="shared" si="27"/>
        <v>6.36</v>
      </c>
    </row>
    <row r="447" spans="1:6" x14ac:dyDescent="0.25">
      <c r="A447" s="1">
        <v>29140</v>
      </c>
      <c r="B447">
        <v>11.45</v>
      </c>
      <c r="C447" s="11">
        <f t="shared" si="24"/>
        <v>0.11449999999999999</v>
      </c>
      <c r="D447">
        <f t="shared" si="25"/>
        <v>1979</v>
      </c>
      <c r="E447" t="str">
        <f t="shared" si="26"/>
        <v>Oct-1979</v>
      </c>
      <c r="F447" s="12">
        <f t="shared" si="27"/>
        <v>6.36</v>
      </c>
    </row>
    <row r="448" spans="1:6" x14ac:dyDescent="0.25">
      <c r="A448" s="1">
        <v>29147</v>
      </c>
      <c r="B448">
        <v>11.75</v>
      </c>
      <c r="C448" s="11">
        <f t="shared" si="24"/>
        <v>0.11749999999999999</v>
      </c>
      <c r="D448">
        <f t="shared" si="25"/>
        <v>1979</v>
      </c>
      <c r="E448" t="str">
        <f t="shared" si="26"/>
        <v>Oct-1979</v>
      </c>
      <c r="F448" s="12">
        <f t="shared" si="27"/>
        <v>6.36</v>
      </c>
    </row>
    <row r="449" spans="1:6" x14ac:dyDescent="0.25">
      <c r="A449" s="1">
        <v>29154</v>
      </c>
      <c r="B449">
        <v>12</v>
      </c>
      <c r="C449" s="11">
        <f t="shared" si="24"/>
        <v>0.12</v>
      </c>
      <c r="D449">
        <f t="shared" si="25"/>
        <v>1979</v>
      </c>
      <c r="E449" t="str">
        <f t="shared" si="26"/>
        <v>Oct-1979</v>
      </c>
      <c r="F449" s="12">
        <f t="shared" si="27"/>
        <v>6.36</v>
      </c>
    </row>
    <row r="450" spans="1:6" x14ac:dyDescent="0.25">
      <c r="A450" s="1">
        <v>29161</v>
      </c>
      <c r="B450">
        <v>12.8</v>
      </c>
      <c r="C450" s="11">
        <f t="shared" ref="C450:C513" si="28">B450/100</f>
        <v>0.128</v>
      </c>
      <c r="D450">
        <f t="shared" ref="D450:D513" si="29">YEAR(A450)</f>
        <v>1979</v>
      </c>
      <c r="E450" t="str">
        <f t="shared" ref="E450:E513" si="30">TEXT(A450,"MMM-YYYY")</f>
        <v>Nov-1979</v>
      </c>
      <c r="F450" s="12">
        <f t="shared" ref="F450:F513" si="31">$H$2</f>
        <v>6.36</v>
      </c>
    </row>
    <row r="451" spans="1:6" x14ac:dyDescent="0.25">
      <c r="A451" s="1">
        <v>29168</v>
      </c>
      <c r="B451">
        <v>12.85</v>
      </c>
      <c r="C451" s="11">
        <f t="shared" si="28"/>
        <v>0.1285</v>
      </c>
      <c r="D451">
        <f t="shared" si="29"/>
        <v>1979</v>
      </c>
      <c r="E451" t="str">
        <f t="shared" si="30"/>
        <v>Nov-1979</v>
      </c>
      <c r="F451" s="12">
        <f t="shared" si="31"/>
        <v>6.36</v>
      </c>
    </row>
    <row r="452" spans="1:6" x14ac:dyDescent="0.25">
      <c r="A452" s="1">
        <v>29175</v>
      </c>
      <c r="B452">
        <v>12.8</v>
      </c>
      <c r="C452" s="11">
        <f t="shared" si="28"/>
        <v>0.128</v>
      </c>
      <c r="D452">
        <f t="shared" si="29"/>
        <v>1979</v>
      </c>
      <c r="E452" t="str">
        <f t="shared" si="30"/>
        <v>Nov-1979</v>
      </c>
      <c r="F452" s="12">
        <f t="shared" si="31"/>
        <v>6.36</v>
      </c>
    </row>
    <row r="453" spans="1:6" x14ac:dyDescent="0.25">
      <c r="A453" s="1">
        <v>29182</v>
      </c>
      <c r="B453">
        <v>12.8</v>
      </c>
      <c r="C453" s="11">
        <f t="shared" si="28"/>
        <v>0.128</v>
      </c>
      <c r="D453">
        <f t="shared" si="29"/>
        <v>1979</v>
      </c>
      <c r="E453" t="str">
        <f t="shared" si="30"/>
        <v>Nov-1979</v>
      </c>
      <c r="F453" s="12">
        <f t="shared" si="31"/>
        <v>6.36</v>
      </c>
    </row>
    <row r="454" spans="1:6" x14ac:dyDescent="0.25">
      <c r="A454" s="1">
        <v>29189</v>
      </c>
      <c r="B454">
        <v>12.9</v>
      </c>
      <c r="C454" s="11">
        <f t="shared" si="28"/>
        <v>0.129</v>
      </c>
      <c r="D454">
        <f t="shared" si="29"/>
        <v>1979</v>
      </c>
      <c r="E454" t="str">
        <f t="shared" si="30"/>
        <v>Nov-1979</v>
      </c>
      <c r="F454" s="12">
        <f t="shared" si="31"/>
        <v>6.36</v>
      </c>
    </row>
    <row r="455" spans="1:6" x14ac:dyDescent="0.25">
      <c r="A455" s="1">
        <v>29196</v>
      </c>
      <c r="B455">
        <v>12.9</v>
      </c>
      <c r="C455" s="11">
        <f t="shared" si="28"/>
        <v>0.129</v>
      </c>
      <c r="D455">
        <f t="shared" si="29"/>
        <v>1979</v>
      </c>
      <c r="E455" t="str">
        <f t="shared" si="30"/>
        <v>Dec-1979</v>
      </c>
      <c r="F455" s="12">
        <f t="shared" si="31"/>
        <v>6.36</v>
      </c>
    </row>
    <row r="456" spans="1:6" x14ac:dyDescent="0.25">
      <c r="A456" s="1">
        <v>29203</v>
      </c>
      <c r="B456">
        <v>12.9</v>
      </c>
      <c r="C456" s="11">
        <f t="shared" si="28"/>
        <v>0.129</v>
      </c>
      <c r="D456">
        <f t="shared" si="29"/>
        <v>1979</v>
      </c>
      <c r="E456" t="str">
        <f t="shared" si="30"/>
        <v>Dec-1979</v>
      </c>
      <c r="F456" s="12">
        <f t="shared" si="31"/>
        <v>6.36</v>
      </c>
    </row>
    <row r="457" spans="1:6" x14ac:dyDescent="0.25">
      <c r="A457" s="1">
        <v>29210</v>
      </c>
      <c r="B457">
        <v>12.9</v>
      </c>
      <c r="C457" s="11">
        <f t="shared" si="28"/>
        <v>0.129</v>
      </c>
      <c r="D457">
        <f t="shared" si="29"/>
        <v>1979</v>
      </c>
      <c r="E457" t="str">
        <f t="shared" si="30"/>
        <v>Dec-1979</v>
      </c>
      <c r="F457" s="12">
        <f t="shared" si="31"/>
        <v>6.36</v>
      </c>
    </row>
    <row r="458" spans="1:6" x14ac:dyDescent="0.25">
      <c r="A458" s="1">
        <v>29217</v>
      </c>
      <c r="B458">
        <v>12.9</v>
      </c>
      <c r="C458" s="11">
        <f t="shared" si="28"/>
        <v>0.129</v>
      </c>
      <c r="D458">
        <f t="shared" si="29"/>
        <v>1979</v>
      </c>
      <c r="E458" t="str">
        <f t="shared" si="30"/>
        <v>Dec-1979</v>
      </c>
      <c r="F458" s="12">
        <f t="shared" si="31"/>
        <v>6.36</v>
      </c>
    </row>
    <row r="459" spans="1:6" x14ac:dyDescent="0.25">
      <c r="A459" s="1">
        <v>29224</v>
      </c>
      <c r="B459">
        <v>12.85</v>
      </c>
      <c r="C459" s="11">
        <f t="shared" si="28"/>
        <v>0.1285</v>
      </c>
      <c r="D459">
        <f t="shared" si="29"/>
        <v>1980</v>
      </c>
      <c r="E459" t="str">
        <f t="shared" si="30"/>
        <v>Jan-1980</v>
      </c>
      <c r="F459" s="12">
        <f t="shared" si="31"/>
        <v>6.36</v>
      </c>
    </row>
    <row r="460" spans="1:6" x14ac:dyDescent="0.25">
      <c r="A460" s="1">
        <v>29231</v>
      </c>
      <c r="B460">
        <v>12.9</v>
      </c>
      <c r="C460" s="11">
        <f t="shared" si="28"/>
        <v>0.129</v>
      </c>
      <c r="D460">
        <f t="shared" si="29"/>
        <v>1980</v>
      </c>
      <c r="E460" t="str">
        <f t="shared" si="30"/>
        <v>Jan-1980</v>
      </c>
      <c r="F460" s="12">
        <f t="shared" si="31"/>
        <v>6.36</v>
      </c>
    </row>
    <row r="461" spans="1:6" x14ac:dyDescent="0.25">
      <c r="A461" s="1">
        <v>29238</v>
      </c>
      <c r="B461">
        <v>12.87</v>
      </c>
      <c r="C461" s="11">
        <f t="shared" si="28"/>
        <v>0.12869999999999998</v>
      </c>
      <c r="D461">
        <f t="shared" si="29"/>
        <v>1980</v>
      </c>
      <c r="E461" t="str">
        <f t="shared" si="30"/>
        <v>Jan-1980</v>
      </c>
      <c r="F461" s="12">
        <f t="shared" si="31"/>
        <v>6.36</v>
      </c>
    </row>
    <row r="462" spans="1:6" x14ac:dyDescent="0.25">
      <c r="A462" s="1">
        <v>29245</v>
      </c>
      <c r="B462">
        <v>12.89</v>
      </c>
      <c r="C462" s="11">
        <f t="shared" si="28"/>
        <v>0.12890000000000001</v>
      </c>
      <c r="D462">
        <f t="shared" si="29"/>
        <v>1980</v>
      </c>
      <c r="E462" t="str">
        <f t="shared" si="30"/>
        <v>Jan-1980</v>
      </c>
      <c r="F462" s="12">
        <f t="shared" si="31"/>
        <v>6.36</v>
      </c>
    </row>
    <row r="463" spans="1:6" x14ac:dyDescent="0.25">
      <c r="A463" s="1">
        <v>29252</v>
      </c>
      <c r="B463">
        <v>12.85</v>
      </c>
      <c r="C463" s="11">
        <f t="shared" si="28"/>
        <v>0.1285</v>
      </c>
      <c r="D463">
        <f t="shared" si="29"/>
        <v>1980</v>
      </c>
      <c r="E463" t="str">
        <f t="shared" si="30"/>
        <v>Feb-1980</v>
      </c>
      <c r="F463" s="12">
        <f t="shared" si="31"/>
        <v>6.36</v>
      </c>
    </row>
    <row r="464" spans="1:6" x14ac:dyDescent="0.25">
      <c r="A464" s="1">
        <v>29259</v>
      </c>
      <c r="B464">
        <v>12.85</v>
      </c>
      <c r="C464" s="11">
        <f t="shared" si="28"/>
        <v>0.1285</v>
      </c>
      <c r="D464">
        <f t="shared" si="29"/>
        <v>1980</v>
      </c>
      <c r="E464" t="str">
        <f t="shared" si="30"/>
        <v>Feb-1980</v>
      </c>
      <c r="F464" s="12">
        <f t="shared" si="31"/>
        <v>6.36</v>
      </c>
    </row>
    <row r="465" spans="1:6" x14ac:dyDescent="0.25">
      <c r="A465" s="1">
        <v>29266</v>
      </c>
      <c r="B465">
        <v>12.88</v>
      </c>
      <c r="C465" s="11">
        <f t="shared" si="28"/>
        <v>0.1288</v>
      </c>
      <c r="D465">
        <f t="shared" si="29"/>
        <v>1980</v>
      </c>
      <c r="E465" t="str">
        <f t="shared" si="30"/>
        <v>Feb-1980</v>
      </c>
      <c r="F465" s="12">
        <f t="shared" si="31"/>
        <v>6.36</v>
      </c>
    </row>
    <row r="466" spans="1:6" x14ac:dyDescent="0.25">
      <c r="A466" s="1">
        <v>29273</v>
      </c>
      <c r="B466">
        <v>13.03</v>
      </c>
      <c r="C466" s="11">
        <f t="shared" si="28"/>
        <v>0.1303</v>
      </c>
      <c r="D466">
        <f t="shared" si="29"/>
        <v>1980</v>
      </c>
      <c r="E466" t="str">
        <f t="shared" si="30"/>
        <v>Feb-1980</v>
      </c>
      <c r="F466" s="12">
        <f t="shared" si="31"/>
        <v>6.36</v>
      </c>
    </row>
    <row r="467" spans="1:6" x14ac:dyDescent="0.25">
      <c r="A467" s="1">
        <v>29280</v>
      </c>
      <c r="B467">
        <v>13.59</v>
      </c>
      <c r="C467" s="11">
        <f t="shared" si="28"/>
        <v>0.13589999999999999</v>
      </c>
      <c r="D467">
        <f t="shared" si="29"/>
        <v>1980</v>
      </c>
      <c r="E467" t="str">
        <f t="shared" si="30"/>
        <v>Feb-1980</v>
      </c>
      <c r="F467" s="12">
        <f t="shared" si="31"/>
        <v>6.36</v>
      </c>
    </row>
    <row r="468" spans="1:6" x14ac:dyDescent="0.25">
      <c r="A468" s="1">
        <v>29287</v>
      </c>
      <c r="B468">
        <v>14</v>
      </c>
      <c r="C468" s="11">
        <f t="shared" si="28"/>
        <v>0.14000000000000001</v>
      </c>
      <c r="D468">
        <f t="shared" si="29"/>
        <v>1980</v>
      </c>
      <c r="E468" t="str">
        <f t="shared" si="30"/>
        <v>Mar-1980</v>
      </c>
      <c r="F468" s="12">
        <f t="shared" si="31"/>
        <v>6.36</v>
      </c>
    </row>
    <row r="469" spans="1:6" x14ac:dyDescent="0.25">
      <c r="A469" s="1">
        <v>29294</v>
      </c>
      <c r="B469">
        <v>15.4</v>
      </c>
      <c r="C469" s="11">
        <f t="shared" si="28"/>
        <v>0.154</v>
      </c>
      <c r="D469">
        <f t="shared" si="29"/>
        <v>1980</v>
      </c>
      <c r="E469" t="str">
        <f t="shared" si="30"/>
        <v>Mar-1980</v>
      </c>
      <c r="F469" s="12">
        <f t="shared" si="31"/>
        <v>6.36</v>
      </c>
    </row>
    <row r="470" spans="1:6" x14ac:dyDescent="0.25">
      <c r="A470" s="1">
        <v>29301</v>
      </c>
      <c r="B470">
        <v>15.7</v>
      </c>
      <c r="C470" s="11">
        <f t="shared" si="28"/>
        <v>0.157</v>
      </c>
      <c r="D470">
        <f t="shared" si="29"/>
        <v>1980</v>
      </c>
      <c r="E470" t="str">
        <f t="shared" si="30"/>
        <v>Mar-1980</v>
      </c>
      <c r="F470" s="12">
        <f t="shared" si="31"/>
        <v>6.36</v>
      </c>
    </row>
    <row r="471" spans="1:6" x14ac:dyDescent="0.25">
      <c r="A471" s="1">
        <v>29308</v>
      </c>
      <c r="B471">
        <v>16.03</v>
      </c>
      <c r="C471" s="11">
        <f t="shared" si="28"/>
        <v>0.1603</v>
      </c>
      <c r="D471">
        <f t="shared" si="29"/>
        <v>1980</v>
      </c>
      <c r="E471" t="str">
        <f t="shared" si="30"/>
        <v>Mar-1980</v>
      </c>
      <c r="F471" s="12">
        <f t="shared" si="31"/>
        <v>6.36</v>
      </c>
    </row>
    <row r="472" spans="1:6" x14ac:dyDescent="0.25">
      <c r="A472" s="1">
        <v>29315</v>
      </c>
      <c r="B472">
        <v>16.350000000000001</v>
      </c>
      <c r="C472" s="11">
        <f t="shared" si="28"/>
        <v>0.16350000000000001</v>
      </c>
      <c r="D472">
        <f t="shared" si="29"/>
        <v>1980</v>
      </c>
      <c r="E472" t="str">
        <f t="shared" si="30"/>
        <v>Apr-1980</v>
      </c>
      <c r="F472" s="12">
        <f t="shared" si="31"/>
        <v>6.36</v>
      </c>
    </row>
    <row r="473" spans="1:6" x14ac:dyDescent="0.25">
      <c r="A473" s="1">
        <v>29322</v>
      </c>
      <c r="B473">
        <v>16.350000000000001</v>
      </c>
      <c r="C473" s="11">
        <f t="shared" si="28"/>
        <v>0.16350000000000001</v>
      </c>
      <c r="D473">
        <f t="shared" si="29"/>
        <v>1980</v>
      </c>
      <c r="E473" t="str">
        <f t="shared" si="30"/>
        <v>Apr-1980</v>
      </c>
      <c r="F473" s="12">
        <f t="shared" si="31"/>
        <v>6.36</v>
      </c>
    </row>
    <row r="474" spans="1:6" x14ac:dyDescent="0.25">
      <c r="A474" s="1">
        <v>29329</v>
      </c>
      <c r="B474">
        <v>16.350000000000001</v>
      </c>
      <c r="C474" s="11">
        <f t="shared" si="28"/>
        <v>0.16350000000000001</v>
      </c>
      <c r="D474">
        <f t="shared" si="29"/>
        <v>1980</v>
      </c>
      <c r="E474" t="str">
        <f t="shared" si="30"/>
        <v>Apr-1980</v>
      </c>
      <c r="F474" s="12">
        <f t="shared" si="31"/>
        <v>6.36</v>
      </c>
    </row>
    <row r="475" spans="1:6" x14ac:dyDescent="0.25">
      <c r="A475" s="1">
        <v>29336</v>
      </c>
      <c r="B475">
        <v>16.25</v>
      </c>
      <c r="C475" s="11">
        <f t="shared" si="28"/>
        <v>0.16250000000000001</v>
      </c>
      <c r="D475">
        <f t="shared" si="29"/>
        <v>1980</v>
      </c>
      <c r="E475" t="str">
        <f t="shared" si="30"/>
        <v>Apr-1980</v>
      </c>
      <c r="F475" s="12">
        <f t="shared" si="31"/>
        <v>6.36</v>
      </c>
    </row>
    <row r="476" spans="1:6" x14ac:dyDescent="0.25">
      <c r="A476" s="1">
        <v>29343</v>
      </c>
      <c r="B476">
        <v>15.9</v>
      </c>
      <c r="C476" s="11">
        <f t="shared" si="28"/>
        <v>0.159</v>
      </c>
      <c r="D476">
        <f t="shared" si="29"/>
        <v>1980</v>
      </c>
      <c r="E476" t="str">
        <f t="shared" si="30"/>
        <v>May-1980</v>
      </c>
      <c r="F476" s="12">
        <f t="shared" si="31"/>
        <v>6.36</v>
      </c>
    </row>
    <row r="477" spans="1:6" x14ac:dyDescent="0.25">
      <c r="A477" s="1">
        <v>29350</v>
      </c>
      <c r="B477">
        <v>14.68</v>
      </c>
      <c r="C477" s="11">
        <f t="shared" si="28"/>
        <v>0.14679999999999999</v>
      </c>
      <c r="D477">
        <f t="shared" si="29"/>
        <v>1980</v>
      </c>
      <c r="E477" t="str">
        <f t="shared" si="30"/>
        <v>May-1980</v>
      </c>
      <c r="F477" s="12">
        <f t="shared" si="31"/>
        <v>6.36</v>
      </c>
    </row>
    <row r="478" spans="1:6" x14ac:dyDescent="0.25">
      <c r="A478" s="1">
        <v>29357</v>
      </c>
      <c r="B478">
        <v>14.15</v>
      </c>
      <c r="C478" s="11">
        <f t="shared" si="28"/>
        <v>0.14150000000000001</v>
      </c>
      <c r="D478">
        <f t="shared" si="29"/>
        <v>1980</v>
      </c>
      <c r="E478" t="str">
        <f t="shared" si="30"/>
        <v>May-1980</v>
      </c>
      <c r="F478" s="12">
        <f t="shared" si="31"/>
        <v>6.36</v>
      </c>
    </row>
    <row r="479" spans="1:6" x14ac:dyDescent="0.25">
      <c r="A479" s="1">
        <v>29364</v>
      </c>
      <c r="B479">
        <v>13.38</v>
      </c>
      <c r="C479" s="11">
        <f t="shared" si="28"/>
        <v>0.1338</v>
      </c>
      <c r="D479">
        <f t="shared" si="29"/>
        <v>1980</v>
      </c>
      <c r="E479" t="str">
        <f t="shared" si="30"/>
        <v>May-1980</v>
      </c>
      <c r="F479" s="12">
        <f t="shared" si="31"/>
        <v>6.36</v>
      </c>
    </row>
    <row r="480" spans="1:6" x14ac:dyDescent="0.25">
      <c r="A480" s="1">
        <v>29371</v>
      </c>
      <c r="B480">
        <v>13.2</v>
      </c>
      <c r="C480" s="11">
        <f t="shared" si="28"/>
        <v>0.13200000000000001</v>
      </c>
      <c r="D480">
        <f t="shared" si="29"/>
        <v>1980</v>
      </c>
      <c r="E480" t="str">
        <f t="shared" si="30"/>
        <v>May-1980</v>
      </c>
      <c r="F480" s="12">
        <f t="shared" si="31"/>
        <v>6.36</v>
      </c>
    </row>
    <row r="481" spans="1:6" x14ac:dyDescent="0.25">
      <c r="A481" s="1">
        <v>29378</v>
      </c>
      <c r="B481">
        <v>13.06</v>
      </c>
      <c r="C481" s="11">
        <f t="shared" si="28"/>
        <v>0.13059999999999999</v>
      </c>
      <c r="D481">
        <f t="shared" si="29"/>
        <v>1980</v>
      </c>
      <c r="E481" t="str">
        <f t="shared" si="30"/>
        <v>Jun-1980</v>
      </c>
      <c r="F481" s="12">
        <f t="shared" si="31"/>
        <v>6.36</v>
      </c>
    </row>
    <row r="482" spans="1:6" x14ac:dyDescent="0.25">
      <c r="A482" s="1">
        <v>29385</v>
      </c>
      <c r="B482">
        <v>12.85</v>
      </c>
      <c r="C482" s="11">
        <f t="shared" si="28"/>
        <v>0.1285</v>
      </c>
      <c r="D482">
        <f t="shared" si="29"/>
        <v>1980</v>
      </c>
      <c r="E482" t="str">
        <f t="shared" si="30"/>
        <v>Jun-1980</v>
      </c>
      <c r="F482" s="12">
        <f t="shared" si="31"/>
        <v>6.36</v>
      </c>
    </row>
    <row r="483" spans="1:6" x14ac:dyDescent="0.25">
      <c r="A483" s="1">
        <v>29392</v>
      </c>
      <c r="B483">
        <v>12.58</v>
      </c>
      <c r="C483" s="11">
        <f t="shared" si="28"/>
        <v>0.1258</v>
      </c>
      <c r="D483">
        <f t="shared" si="29"/>
        <v>1980</v>
      </c>
      <c r="E483" t="str">
        <f t="shared" si="30"/>
        <v>Jun-1980</v>
      </c>
      <c r="F483" s="12">
        <f t="shared" si="31"/>
        <v>6.36</v>
      </c>
    </row>
    <row r="484" spans="1:6" x14ac:dyDescent="0.25">
      <c r="A484" s="1">
        <v>29399</v>
      </c>
      <c r="B484">
        <v>12.35</v>
      </c>
      <c r="C484" s="11">
        <f t="shared" si="28"/>
        <v>0.1235</v>
      </c>
      <c r="D484">
        <f t="shared" si="29"/>
        <v>1980</v>
      </c>
      <c r="E484" t="str">
        <f t="shared" si="30"/>
        <v>Jun-1980</v>
      </c>
      <c r="F484" s="12">
        <f t="shared" si="31"/>
        <v>6.36</v>
      </c>
    </row>
    <row r="485" spans="1:6" x14ac:dyDescent="0.25">
      <c r="A485" s="1">
        <v>29406</v>
      </c>
      <c r="B485">
        <v>12.18</v>
      </c>
      <c r="C485" s="11">
        <f t="shared" si="28"/>
        <v>0.12179999999999999</v>
      </c>
      <c r="D485">
        <f t="shared" si="29"/>
        <v>1980</v>
      </c>
      <c r="E485" t="str">
        <f t="shared" si="30"/>
        <v>Jul-1980</v>
      </c>
      <c r="F485" s="12">
        <f t="shared" si="31"/>
        <v>6.36</v>
      </c>
    </row>
    <row r="486" spans="1:6" x14ac:dyDescent="0.25">
      <c r="A486" s="1">
        <v>29413</v>
      </c>
      <c r="B486">
        <v>12.23</v>
      </c>
      <c r="C486" s="11">
        <f t="shared" si="28"/>
        <v>0.12230000000000001</v>
      </c>
      <c r="D486">
        <f t="shared" si="29"/>
        <v>1980</v>
      </c>
      <c r="E486" t="str">
        <f t="shared" si="30"/>
        <v>Jul-1980</v>
      </c>
      <c r="F486" s="12">
        <f t="shared" si="31"/>
        <v>6.36</v>
      </c>
    </row>
    <row r="487" spans="1:6" x14ac:dyDescent="0.25">
      <c r="A487" s="1">
        <v>29420</v>
      </c>
      <c r="B487">
        <v>12.18</v>
      </c>
      <c r="C487" s="11">
        <f t="shared" si="28"/>
        <v>0.12179999999999999</v>
      </c>
      <c r="D487">
        <f t="shared" si="29"/>
        <v>1980</v>
      </c>
      <c r="E487" t="str">
        <f t="shared" si="30"/>
        <v>Jul-1980</v>
      </c>
      <c r="F487" s="12">
        <f t="shared" si="31"/>
        <v>6.36</v>
      </c>
    </row>
    <row r="488" spans="1:6" x14ac:dyDescent="0.25">
      <c r="A488" s="1">
        <v>29427</v>
      </c>
      <c r="B488">
        <v>12.18</v>
      </c>
      <c r="C488" s="11">
        <f t="shared" si="28"/>
        <v>0.12179999999999999</v>
      </c>
      <c r="D488">
        <f t="shared" si="29"/>
        <v>1980</v>
      </c>
      <c r="E488" t="str">
        <f t="shared" si="30"/>
        <v>Jul-1980</v>
      </c>
      <c r="F488" s="12">
        <f t="shared" si="31"/>
        <v>6.36</v>
      </c>
    </row>
    <row r="489" spans="1:6" x14ac:dyDescent="0.25">
      <c r="A489" s="1">
        <v>29434</v>
      </c>
      <c r="B489">
        <v>12.25</v>
      </c>
      <c r="C489" s="11">
        <f t="shared" si="28"/>
        <v>0.1225</v>
      </c>
      <c r="D489">
        <f t="shared" si="29"/>
        <v>1980</v>
      </c>
      <c r="E489" t="str">
        <f t="shared" si="30"/>
        <v>Aug-1980</v>
      </c>
      <c r="F489" s="12">
        <f t="shared" si="31"/>
        <v>6.36</v>
      </c>
    </row>
    <row r="490" spans="1:6" x14ac:dyDescent="0.25">
      <c r="A490" s="1">
        <v>29441</v>
      </c>
      <c r="B490">
        <v>12.25</v>
      </c>
      <c r="C490" s="11">
        <f t="shared" si="28"/>
        <v>0.1225</v>
      </c>
      <c r="D490">
        <f t="shared" si="29"/>
        <v>1980</v>
      </c>
      <c r="E490" t="str">
        <f t="shared" si="30"/>
        <v>Aug-1980</v>
      </c>
      <c r="F490" s="12">
        <f t="shared" si="31"/>
        <v>6.36</v>
      </c>
    </row>
    <row r="491" spans="1:6" x14ac:dyDescent="0.25">
      <c r="A491" s="1">
        <v>29448</v>
      </c>
      <c r="B491">
        <v>12.55</v>
      </c>
      <c r="C491" s="11">
        <f t="shared" si="28"/>
        <v>0.1255</v>
      </c>
      <c r="D491">
        <f t="shared" si="29"/>
        <v>1980</v>
      </c>
      <c r="E491" t="str">
        <f t="shared" si="30"/>
        <v>Aug-1980</v>
      </c>
      <c r="F491" s="12">
        <f t="shared" si="31"/>
        <v>6.36</v>
      </c>
    </row>
    <row r="492" spans="1:6" x14ac:dyDescent="0.25">
      <c r="A492" s="1">
        <v>29455</v>
      </c>
      <c r="B492">
        <v>12.8</v>
      </c>
      <c r="C492" s="11">
        <f t="shared" si="28"/>
        <v>0.128</v>
      </c>
      <c r="D492">
        <f t="shared" si="29"/>
        <v>1980</v>
      </c>
      <c r="E492" t="str">
        <f t="shared" si="30"/>
        <v>Aug-1980</v>
      </c>
      <c r="F492" s="12">
        <f t="shared" si="31"/>
        <v>6.36</v>
      </c>
    </row>
    <row r="493" spans="1:6" x14ac:dyDescent="0.25">
      <c r="A493" s="1">
        <v>29462</v>
      </c>
      <c r="B493">
        <v>12.95</v>
      </c>
      <c r="C493" s="11">
        <f t="shared" si="28"/>
        <v>0.1295</v>
      </c>
      <c r="D493">
        <f t="shared" si="29"/>
        <v>1980</v>
      </c>
      <c r="E493" t="str">
        <f t="shared" si="30"/>
        <v>Aug-1980</v>
      </c>
      <c r="F493" s="12">
        <f t="shared" si="31"/>
        <v>6.36</v>
      </c>
    </row>
    <row r="494" spans="1:6" x14ac:dyDescent="0.25">
      <c r="A494" s="1">
        <v>29469</v>
      </c>
      <c r="B494">
        <v>13.03</v>
      </c>
      <c r="C494" s="11">
        <f t="shared" si="28"/>
        <v>0.1303</v>
      </c>
      <c r="D494">
        <f t="shared" si="29"/>
        <v>1980</v>
      </c>
      <c r="E494" t="str">
        <f t="shared" si="30"/>
        <v>Sep-1980</v>
      </c>
      <c r="F494" s="12">
        <f t="shared" si="31"/>
        <v>6.36</v>
      </c>
    </row>
    <row r="495" spans="1:6" x14ac:dyDescent="0.25">
      <c r="A495" s="1">
        <v>29476</v>
      </c>
      <c r="B495">
        <v>13.08</v>
      </c>
      <c r="C495" s="11">
        <f t="shared" si="28"/>
        <v>0.1308</v>
      </c>
      <c r="D495">
        <f t="shared" si="29"/>
        <v>1980</v>
      </c>
      <c r="E495" t="str">
        <f t="shared" si="30"/>
        <v>Sep-1980</v>
      </c>
      <c r="F495" s="12">
        <f t="shared" si="31"/>
        <v>6.36</v>
      </c>
    </row>
    <row r="496" spans="1:6" x14ac:dyDescent="0.25">
      <c r="A496" s="1">
        <v>29483</v>
      </c>
      <c r="B496">
        <v>13.25</v>
      </c>
      <c r="C496" s="11">
        <f t="shared" si="28"/>
        <v>0.13250000000000001</v>
      </c>
      <c r="D496">
        <f t="shared" si="29"/>
        <v>1980</v>
      </c>
      <c r="E496" t="str">
        <f t="shared" si="30"/>
        <v>Sep-1980</v>
      </c>
      <c r="F496" s="12">
        <f t="shared" si="31"/>
        <v>6.36</v>
      </c>
    </row>
    <row r="497" spans="1:6" x14ac:dyDescent="0.25">
      <c r="A497" s="1">
        <v>29490</v>
      </c>
      <c r="B497">
        <v>13.43</v>
      </c>
      <c r="C497" s="11">
        <f t="shared" si="28"/>
        <v>0.1343</v>
      </c>
      <c r="D497">
        <f t="shared" si="29"/>
        <v>1980</v>
      </c>
      <c r="E497" t="str">
        <f t="shared" si="30"/>
        <v>Sep-1980</v>
      </c>
      <c r="F497" s="12">
        <f t="shared" si="31"/>
        <v>6.36</v>
      </c>
    </row>
    <row r="498" spans="1:6" x14ac:dyDescent="0.25">
      <c r="A498" s="1">
        <v>29497</v>
      </c>
      <c r="B498">
        <v>13.6</v>
      </c>
      <c r="C498" s="11">
        <f t="shared" si="28"/>
        <v>0.13600000000000001</v>
      </c>
      <c r="D498">
        <f t="shared" si="29"/>
        <v>1980</v>
      </c>
      <c r="E498" t="str">
        <f t="shared" si="30"/>
        <v>Oct-1980</v>
      </c>
      <c r="F498" s="12">
        <f t="shared" si="31"/>
        <v>6.36</v>
      </c>
    </row>
    <row r="499" spans="1:6" x14ac:dyDescent="0.25">
      <c r="A499" s="1">
        <v>29504</v>
      </c>
      <c r="B499">
        <v>13.73</v>
      </c>
      <c r="C499" s="11">
        <f t="shared" si="28"/>
        <v>0.13730000000000001</v>
      </c>
      <c r="D499">
        <f t="shared" si="29"/>
        <v>1980</v>
      </c>
      <c r="E499" t="str">
        <f t="shared" si="30"/>
        <v>Oct-1980</v>
      </c>
      <c r="F499" s="12">
        <f t="shared" si="31"/>
        <v>6.36</v>
      </c>
    </row>
    <row r="500" spans="1:6" x14ac:dyDescent="0.25">
      <c r="A500" s="1">
        <v>29511</v>
      </c>
      <c r="B500">
        <v>13.78</v>
      </c>
      <c r="C500" s="11">
        <f t="shared" si="28"/>
        <v>0.13780000000000001</v>
      </c>
      <c r="D500">
        <f t="shared" si="29"/>
        <v>1980</v>
      </c>
      <c r="E500" t="str">
        <f t="shared" si="30"/>
        <v>Oct-1980</v>
      </c>
      <c r="F500" s="12">
        <f t="shared" si="31"/>
        <v>6.36</v>
      </c>
    </row>
    <row r="501" spans="1:6" x14ac:dyDescent="0.25">
      <c r="A501" s="1">
        <v>29518</v>
      </c>
      <c r="B501">
        <v>13.85</v>
      </c>
      <c r="C501" s="11">
        <f t="shared" si="28"/>
        <v>0.13849999999999998</v>
      </c>
      <c r="D501">
        <f t="shared" si="29"/>
        <v>1980</v>
      </c>
      <c r="E501" t="str">
        <f t="shared" si="30"/>
        <v>Oct-1980</v>
      </c>
      <c r="F501" s="12">
        <f t="shared" si="31"/>
        <v>6.36</v>
      </c>
    </row>
    <row r="502" spans="1:6" x14ac:dyDescent="0.25">
      <c r="A502" s="1">
        <v>29525</v>
      </c>
      <c r="B502">
        <v>14</v>
      </c>
      <c r="C502" s="11">
        <f t="shared" si="28"/>
        <v>0.14000000000000001</v>
      </c>
      <c r="D502">
        <f t="shared" si="29"/>
        <v>1980</v>
      </c>
      <c r="E502" t="str">
        <f t="shared" si="30"/>
        <v>Oct-1980</v>
      </c>
      <c r="F502" s="12">
        <f t="shared" si="31"/>
        <v>6.36</v>
      </c>
    </row>
    <row r="503" spans="1:6" x14ac:dyDescent="0.25">
      <c r="A503" s="1">
        <v>29532</v>
      </c>
      <c r="B503">
        <v>14.08</v>
      </c>
      <c r="C503" s="11">
        <f t="shared" si="28"/>
        <v>0.14080000000000001</v>
      </c>
      <c r="D503">
        <f t="shared" si="29"/>
        <v>1980</v>
      </c>
      <c r="E503" t="str">
        <f t="shared" si="30"/>
        <v>Nov-1980</v>
      </c>
      <c r="F503" s="12">
        <f t="shared" si="31"/>
        <v>6.36</v>
      </c>
    </row>
    <row r="504" spans="1:6" x14ac:dyDescent="0.25">
      <c r="A504" s="1">
        <v>29539</v>
      </c>
      <c r="B504">
        <v>14.18</v>
      </c>
      <c r="C504" s="11">
        <f t="shared" si="28"/>
        <v>0.14180000000000001</v>
      </c>
      <c r="D504">
        <f t="shared" si="29"/>
        <v>1980</v>
      </c>
      <c r="E504" t="str">
        <f t="shared" si="30"/>
        <v>Nov-1980</v>
      </c>
      <c r="F504" s="12">
        <f t="shared" si="31"/>
        <v>6.36</v>
      </c>
    </row>
    <row r="505" spans="1:6" x14ac:dyDescent="0.25">
      <c r="A505" s="1">
        <v>29546</v>
      </c>
      <c r="B505">
        <v>14.28</v>
      </c>
      <c r="C505" s="11">
        <f t="shared" si="28"/>
        <v>0.14279999999999998</v>
      </c>
      <c r="D505">
        <f t="shared" si="29"/>
        <v>1980</v>
      </c>
      <c r="E505" t="str">
        <f t="shared" si="30"/>
        <v>Nov-1980</v>
      </c>
      <c r="F505" s="12">
        <f t="shared" si="31"/>
        <v>6.36</v>
      </c>
    </row>
    <row r="506" spans="1:6" x14ac:dyDescent="0.25">
      <c r="A506" s="1">
        <v>29553</v>
      </c>
      <c r="B506">
        <v>14.28</v>
      </c>
      <c r="C506" s="11">
        <f t="shared" si="28"/>
        <v>0.14279999999999998</v>
      </c>
      <c r="D506">
        <f t="shared" si="29"/>
        <v>1980</v>
      </c>
      <c r="E506" t="str">
        <f t="shared" si="30"/>
        <v>Nov-1980</v>
      </c>
      <c r="F506" s="12">
        <f t="shared" si="31"/>
        <v>6.36</v>
      </c>
    </row>
    <row r="507" spans="1:6" x14ac:dyDescent="0.25">
      <c r="A507" s="1">
        <v>29560</v>
      </c>
      <c r="B507">
        <v>14.43</v>
      </c>
      <c r="C507" s="11">
        <f t="shared" si="28"/>
        <v>0.14429999999999998</v>
      </c>
      <c r="D507">
        <f t="shared" si="29"/>
        <v>1980</v>
      </c>
      <c r="E507" t="str">
        <f t="shared" si="30"/>
        <v>Dec-1980</v>
      </c>
      <c r="F507" s="12">
        <f t="shared" si="31"/>
        <v>6.36</v>
      </c>
    </row>
    <row r="508" spans="1:6" x14ac:dyDescent="0.25">
      <c r="A508" s="1">
        <v>29567</v>
      </c>
      <c r="B508">
        <v>14.83</v>
      </c>
      <c r="C508" s="11">
        <f t="shared" si="28"/>
        <v>0.14829999999999999</v>
      </c>
      <c r="D508">
        <f t="shared" si="29"/>
        <v>1980</v>
      </c>
      <c r="E508" t="str">
        <f t="shared" si="30"/>
        <v>Dec-1980</v>
      </c>
      <c r="F508" s="12">
        <f t="shared" si="31"/>
        <v>6.36</v>
      </c>
    </row>
    <row r="509" spans="1:6" x14ac:dyDescent="0.25">
      <c r="A509" s="1">
        <v>29574</v>
      </c>
      <c r="B509">
        <v>14.95</v>
      </c>
      <c r="C509" s="11">
        <f t="shared" si="28"/>
        <v>0.14949999999999999</v>
      </c>
      <c r="D509">
        <f t="shared" si="29"/>
        <v>1980</v>
      </c>
      <c r="E509" t="str">
        <f t="shared" si="30"/>
        <v>Dec-1980</v>
      </c>
      <c r="F509" s="12">
        <f t="shared" si="31"/>
        <v>6.36</v>
      </c>
    </row>
    <row r="510" spans="1:6" x14ac:dyDescent="0.25">
      <c r="A510" s="1">
        <v>29581</v>
      </c>
      <c r="B510">
        <v>14.95</v>
      </c>
      <c r="C510" s="11">
        <f t="shared" si="28"/>
        <v>0.14949999999999999</v>
      </c>
      <c r="D510">
        <f t="shared" si="29"/>
        <v>1980</v>
      </c>
      <c r="E510" t="str">
        <f t="shared" si="30"/>
        <v>Dec-1980</v>
      </c>
      <c r="F510" s="12">
        <f t="shared" si="31"/>
        <v>6.36</v>
      </c>
    </row>
    <row r="511" spans="1:6" x14ac:dyDescent="0.25">
      <c r="A511" s="1">
        <v>29588</v>
      </c>
      <c r="B511">
        <v>14.95</v>
      </c>
      <c r="C511" s="11">
        <f t="shared" si="28"/>
        <v>0.14949999999999999</v>
      </c>
      <c r="D511">
        <f t="shared" si="29"/>
        <v>1981</v>
      </c>
      <c r="E511" t="str">
        <f t="shared" si="30"/>
        <v>Jan-1981</v>
      </c>
      <c r="F511" s="12">
        <f t="shared" si="31"/>
        <v>6.36</v>
      </c>
    </row>
    <row r="512" spans="1:6" x14ac:dyDescent="0.25">
      <c r="A512" s="1">
        <v>29595</v>
      </c>
      <c r="B512">
        <v>14.8</v>
      </c>
      <c r="C512" s="11">
        <f t="shared" si="28"/>
        <v>0.14800000000000002</v>
      </c>
      <c r="D512">
        <f t="shared" si="29"/>
        <v>1981</v>
      </c>
      <c r="E512" t="str">
        <f t="shared" si="30"/>
        <v>Jan-1981</v>
      </c>
      <c r="F512" s="12">
        <f t="shared" si="31"/>
        <v>6.36</v>
      </c>
    </row>
    <row r="513" spans="1:6" x14ac:dyDescent="0.25">
      <c r="A513" s="1">
        <v>29602</v>
      </c>
      <c r="B513">
        <v>14.85</v>
      </c>
      <c r="C513" s="11">
        <f t="shared" si="28"/>
        <v>0.14849999999999999</v>
      </c>
      <c r="D513">
        <f t="shared" si="29"/>
        <v>1981</v>
      </c>
      <c r="E513" t="str">
        <f t="shared" si="30"/>
        <v>Jan-1981</v>
      </c>
      <c r="F513" s="12">
        <f t="shared" si="31"/>
        <v>6.36</v>
      </c>
    </row>
    <row r="514" spans="1:6" x14ac:dyDescent="0.25">
      <c r="A514" s="1">
        <v>29609</v>
      </c>
      <c r="B514">
        <v>14.85</v>
      </c>
      <c r="C514" s="11">
        <f t="shared" ref="C514:C577" si="32">B514/100</f>
        <v>0.14849999999999999</v>
      </c>
      <c r="D514">
        <f t="shared" ref="D514:D577" si="33">YEAR(A514)</f>
        <v>1981</v>
      </c>
      <c r="E514" t="str">
        <f t="shared" ref="E514:E577" si="34">TEXT(A514,"MMM-YYYY")</f>
        <v>Jan-1981</v>
      </c>
      <c r="F514" s="12">
        <f t="shared" ref="F514:F577" si="35">$H$2</f>
        <v>6.36</v>
      </c>
    </row>
    <row r="515" spans="1:6" x14ac:dyDescent="0.25">
      <c r="A515" s="1">
        <v>29616</v>
      </c>
      <c r="B515">
        <v>15.07</v>
      </c>
      <c r="C515" s="11">
        <f t="shared" si="32"/>
        <v>0.1507</v>
      </c>
      <c r="D515">
        <f t="shared" si="33"/>
        <v>1981</v>
      </c>
      <c r="E515" t="str">
        <f t="shared" si="34"/>
        <v>Jan-1981</v>
      </c>
      <c r="F515" s="12">
        <f t="shared" si="35"/>
        <v>6.36</v>
      </c>
    </row>
    <row r="516" spans="1:6" x14ac:dyDescent="0.25">
      <c r="A516" s="1">
        <v>29623</v>
      </c>
      <c r="B516">
        <v>15</v>
      </c>
      <c r="C516" s="11">
        <f t="shared" si="32"/>
        <v>0.15</v>
      </c>
      <c r="D516">
        <f t="shared" si="33"/>
        <v>1981</v>
      </c>
      <c r="E516" t="str">
        <f t="shared" si="34"/>
        <v>Feb-1981</v>
      </c>
      <c r="F516" s="12">
        <f t="shared" si="35"/>
        <v>6.36</v>
      </c>
    </row>
    <row r="517" spans="1:6" x14ac:dyDescent="0.25">
      <c r="A517" s="1">
        <v>29630</v>
      </c>
      <c r="B517">
        <v>15.03</v>
      </c>
      <c r="C517" s="11">
        <f t="shared" si="32"/>
        <v>0.15029999999999999</v>
      </c>
      <c r="D517">
        <f t="shared" si="33"/>
        <v>1981</v>
      </c>
      <c r="E517" t="str">
        <f t="shared" si="34"/>
        <v>Feb-1981</v>
      </c>
      <c r="F517" s="12">
        <f t="shared" si="35"/>
        <v>6.36</v>
      </c>
    </row>
    <row r="518" spans="1:6" x14ac:dyDescent="0.25">
      <c r="A518" s="1">
        <v>29637</v>
      </c>
      <c r="B518">
        <v>15.2</v>
      </c>
      <c r="C518" s="11">
        <f t="shared" si="32"/>
        <v>0.152</v>
      </c>
      <c r="D518">
        <f t="shared" si="33"/>
        <v>1981</v>
      </c>
      <c r="E518" t="str">
        <f t="shared" si="34"/>
        <v>Feb-1981</v>
      </c>
      <c r="F518" s="12">
        <f t="shared" si="35"/>
        <v>6.36</v>
      </c>
    </row>
    <row r="519" spans="1:6" x14ac:dyDescent="0.25">
      <c r="A519" s="1">
        <v>29644</v>
      </c>
      <c r="B519">
        <v>15.3</v>
      </c>
      <c r="C519" s="11">
        <f t="shared" si="32"/>
        <v>0.153</v>
      </c>
      <c r="D519">
        <f t="shared" si="33"/>
        <v>1981</v>
      </c>
      <c r="E519" t="str">
        <f t="shared" si="34"/>
        <v>Feb-1981</v>
      </c>
      <c r="F519" s="12">
        <f t="shared" si="35"/>
        <v>6.36</v>
      </c>
    </row>
    <row r="520" spans="1:6" x14ac:dyDescent="0.25">
      <c r="A520" s="1">
        <v>29651</v>
      </c>
      <c r="B520">
        <v>15.4</v>
      </c>
      <c r="C520" s="11">
        <f t="shared" si="32"/>
        <v>0.154</v>
      </c>
      <c r="D520">
        <f t="shared" si="33"/>
        <v>1981</v>
      </c>
      <c r="E520" t="str">
        <f t="shared" si="34"/>
        <v>Mar-1981</v>
      </c>
      <c r="F520" s="12">
        <f t="shared" si="35"/>
        <v>6.36</v>
      </c>
    </row>
    <row r="521" spans="1:6" x14ac:dyDescent="0.25">
      <c r="A521" s="1">
        <v>29658</v>
      </c>
      <c r="B521">
        <v>15.4</v>
      </c>
      <c r="C521" s="11">
        <f t="shared" si="32"/>
        <v>0.154</v>
      </c>
      <c r="D521">
        <f t="shared" si="33"/>
        <v>1981</v>
      </c>
      <c r="E521" t="str">
        <f t="shared" si="34"/>
        <v>Mar-1981</v>
      </c>
      <c r="F521" s="12">
        <f t="shared" si="35"/>
        <v>6.36</v>
      </c>
    </row>
    <row r="522" spans="1:6" x14ac:dyDescent="0.25">
      <c r="A522" s="1">
        <v>29665</v>
      </c>
      <c r="B522">
        <v>15.4</v>
      </c>
      <c r="C522" s="11">
        <f t="shared" si="32"/>
        <v>0.154</v>
      </c>
      <c r="D522">
        <f t="shared" si="33"/>
        <v>1981</v>
      </c>
      <c r="E522" t="str">
        <f t="shared" si="34"/>
        <v>Mar-1981</v>
      </c>
      <c r="F522" s="12">
        <f t="shared" si="35"/>
        <v>6.36</v>
      </c>
    </row>
    <row r="523" spans="1:6" x14ac:dyDescent="0.25">
      <c r="A523" s="1">
        <v>29672</v>
      </c>
      <c r="B523">
        <v>15.4</v>
      </c>
      <c r="C523" s="11">
        <f t="shared" si="32"/>
        <v>0.154</v>
      </c>
      <c r="D523">
        <f t="shared" si="33"/>
        <v>1981</v>
      </c>
      <c r="E523" t="str">
        <f t="shared" si="34"/>
        <v>Mar-1981</v>
      </c>
      <c r="F523" s="12">
        <f t="shared" si="35"/>
        <v>6.36</v>
      </c>
    </row>
    <row r="524" spans="1:6" x14ac:dyDescent="0.25">
      <c r="A524" s="1">
        <v>29679</v>
      </c>
      <c r="B524">
        <v>15.4</v>
      </c>
      <c r="C524" s="11">
        <f t="shared" si="32"/>
        <v>0.154</v>
      </c>
      <c r="D524">
        <f t="shared" si="33"/>
        <v>1981</v>
      </c>
      <c r="E524" t="str">
        <f t="shared" si="34"/>
        <v>Apr-1981</v>
      </c>
      <c r="F524" s="12">
        <f t="shared" si="35"/>
        <v>6.36</v>
      </c>
    </row>
    <row r="525" spans="1:6" x14ac:dyDescent="0.25">
      <c r="A525" s="1">
        <v>29686</v>
      </c>
      <c r="B525">
        <v>15.5</v>
      </c>
      <c r="C525" s="11">
        <f t="shared" si="32"/>
        <v>0.155</v>
      </c>
      <c r="D525">
        <f t="shared" si="33"/>
        <v>1981</v>
      </c>
      <c r="E525" t="str">
        <f t="shared" si="34"/>
        <v>Apr-1981</v>
      </c>
      <c r="F525" s="12">
        <f t="shared" si="35"/>
        <v>6.36</v>
      </c>
    </row>
    <row r="526" spans="1:6" x14ac:dyDescent="0.25">
      <c r="A526" s="1">
        <v>29693</v>
      </c>
      <c r="B526">
        <v>15.65</v>
      </c>
      <c r="C526" s="11">
        <f t="shared" si="32"/>
        <v>0.1565</v>
      </c>
      <c r="D526">
        <f t="shared" si="33"/>
        <v>1981</v>
      </c>
      <c r="E526" t="str">
        <f t="shared" si="34"/>
        <v>Apr-1981</v>
      </c>
      <c r="F526" s="12">
        <f t="shared" si="35"/>
        <v>6.36</v>
      </c>
    </row>
    <row r="527" spans="1:6" x14ac:dyDescent="0.25">
      <c r="A527" s="1">
        <v>29700</v>
      </c>
      <c r="B527">
        <v>15.77</v>
      </c>
      <c r="C527" s="11">
        <f t="shared" si="32"/>
        <v>0.15770000000000001</v>
      </c>
      <c r="D527">
        <f t="shared" si="33"/>
        <v>1981</v>
      </c>
      <c r="E527" t="str">
        <f t="shared" si="34"/>
        <v>Apr-1981</v>
      </c>
      <c r="F527" s="12">
        <f t="shared" si="35"/>
        <v>6.36</v>
      </c>
    </row>
    <row r="528" spans="1:6" x14ac:dyDescent="0.25">
      <c r="A528" s="1">
        <v>29707</v>
      </c>
      <c r="B528">
        <v>15.82</v>
      </c>
      <c r="C528" s="11">
        <f t="shared" si="32"/>
        <v>0.15820000000000001</v>
      </c>
      <c r="D528">
        <f t="shared" si="33"/>
        <v>1981</v>
      </c>
      <c r="E528" t="str">
        <f t="shared" si="34"/>
        <v>May-1981</v>
      </c>
      <c r="F528" s="12">
        <f t="shared" si="35"/>
        <v>6.36</v>
      </c>
    </row>
    <row r="529" spans="1:6" x14ac:dyDescent="0.25">
      <c r="A529" s="1">
        <v>29714</v>
      </c>
      <c r="B529">
        <v>16.12</v>
      </c>
      <c r="C529" s="11">
        <f t="shared" si="32"/>
        <v>0.16120000000000001</v>
      </c>
      <c r="D529">
        <f t="shared" si="33"/>
        <v>1981</v>
      </c>
      <c r="E529" t="str">
        <f t="shared" si="34"/>
        <v>May-1981</v>
      </c>
      <c r="F529" s="12">
        <f t="shared" si="35"/>
        <v>6.36</v>
      </c>
    </row>
    <row r="530" spans="1:6" x14ac:dyDescent="0.25">
      <c r="A530" s="1">
        <v>29721</v>
      </c>
      <c r="B530">
        <v>16.64</v>
      </c>
      <c r="C530" s="11">
        <f t="shared" si="32"/>
        <v>0.16639999999999999</v>
      </c>
      <c r="D530">
        <f t="shared" si="33"/>
        <v>1981</v>
      </c>
      <c r="E530" t="str">
        <f t="shared" si="34"/>
        <v>May-1981</v>
      </c>
      <c r="F530" s="12">
        <f t="shared" si="35"/>
        <v>6.36</v>
      </c>
    </row>
    <row r="531" spans="1:6" x14ac:dyDescent="0.25">
      <c r="A531" s="1">
        <v>29728</v>
      </c>
      <c r="B531">
        <v>16.63</v>
      </c>
      <c r="C531" s="11">
        <f t="shared" si="32"/>
        <v>0.1663</v>
      </c>
      <c r="D531">
        <f t="shared" si="33"/>
        <v>1981</v>
      </c>
      <c r="E531" t="str">
        <f t="shared" si="34"/>
        <v>May-1981</v>
      </c>
      <c r="F531" s="12">
        <f t="shared" si="35"/>
        <v>6.36</v>
      </c>
    </row>
    <row r="532" spans="1:6" x14ac:dyDescent="0.25">
      <c r="A532" s="1">
        <v>29735</v>
      </c>
      <c r="B532">
        <v>16.8</v>
      </c>
      <c r="C532" s="11">
        <f t="shared" si="32"/>
        <v>0.16800000000000001</v>
      </c>
      <c r="D532">
        <f t="shared" si="33"/>
        <v>1981</v>
      </c>
      <c r="E532" t="str">
        <f t="shared" si="34"/>
        <v>May-1981</v>
      </c>
      <c r="F532" s="12">
        <f t="shared" si="35"/>
        <v>6.36</v>
      </c>
    </row>
    <row r="533" spans="1:6" x14ac:dyDescent="0.25">
      <c r="A533" s="1">
        <v>29742</v>
      </c>
      <c r="B533">
        <v>16.760000000000002</v>
      </c>
      <c r="C533" s="11">
        <f t="shared" si="32"/>
        <v>0.16760000000000003</v>
      </c>
      <c r="D533">
        <f t="shared" si="33"/>
        <v>1981</v>
      </c>
      <c r="E533" t="str">
        <f t="shared" si="34"/>
        <v>Jun-1981</v>
      </c>
      <c r="F533" s="12">
        <f t="shared" si="35"/>
        <v>6.36</v>
      </c>
    </row>
    <row r="534" spans="1:6" x14ac:dyDescent="0.25">
      <c r="A534" s="1">
        <v>29749</v>
      </c>
      <c r="B534">
        <v>16.690000000000001</v>
      </c>
      <c r="C534" s="11">
        <f t="shared" si="32"/>
        <v>0.16690000000000002</v>
      </c>
      <c r="D534">
        <f t="shared" si="33"/>
        <v>1981</v>
      </c>
      <c r="E534" t="str">
        <f t="shared" si="34"/>
        <v>Jun-1981</v>
      </c>
      <c r="F534" s="12">
        <f t="shared" si="35"/>
        <v>6.36</v>
      </c>
    </row>
    <row r="535" spans="1:6" x14ac:dyDescent="0.25">
      <c r="A535" s="1">
        <v>29756</v>
      </c>
      <c r="B535">
        <v>16.71</v>
      </c>
      <c r="C535" s="11">
        <f t="shared" si="32"/>
        <v>0.1671</v>
      </c>
      <c r="D535">
        <f t="shared" si="33"/>
        <v>1981</v>
      </c>
      <c r="E535" t="str">
        <f t="shared" si="34"/>
        <v>Jun-1981</v>
      </c>
      <c r="F535" s="12">
        <f t="shared" si="35"/>
        <v>6.36</v>
      </c>
    </row>
    <row r="536" spans="1:6" x14ac:dyDescent="0.25">
      <c r="A536" s="1">
        <v>29763</v>
      </c>
      <c r="B536">
        <v>16.62</v>
      </c>
      <c r="C536" s="11">
        <f t="shared" si="32"/>
        <v>0.16620000000000001</v>
      </c>
      <c r="D536">
        <f t="shared" si="33"/>
        <v>1981</v>
      </c>
      <c r="E536" t="str">
        <f t="shared" si="34"/>
        <v>Jun-1981</v>
      </c>
      <c r="F536" s="12">
        <f t="shared" si="35"/>
        <v>6.36</v>
      </c>
    </row>
    <row r="537" spans="1:6" x14ac:dyDescent="0.25">
      <c r="A537" s="1">
        <v>29770</v>
      </c>
      <c r="B537">
        <v>16.64</v>
      </c>
      <c r="C537" s="11">
        <f t="shared" si="32"/>
        <v>0.16639999999999999</v>
      </c>
      <c r="D537">
        <f t="shared" si="33"/>
        <v>1981</v>
      </c>
      <c r="E537" t="str">
        <f t="shared" si="34"/>
        <v>Jul-1981</v>
      </c>
      <c r="F537" s="12">
        <f t="shared" si="35"/>
        <v>6.36</v>
      </c>
    </row>
    <row r="538" spans="1:6" x14ac:dyDescent="0.25">
      <c r="A538" s="1">
        <v>29777</v>
      </c>
      <c r="B538">
        <v>16.79</v>
      </c>
      <c r="C538" s="11">
        <f t="shared" si="32"/>
        <v>0.16789999999999999</v>
      </c>
      <c r="D538">
        <f t="shared" si="33"/>
        <v>1981</v>
      </c>
      <c r="E538" t="str">
        <f t="shared" si="34"/>
        <v>Jul-1981</v>
      </c>
      <c r="F538" s="12">
        <f t="shared" si="35"/>
        <v>6.36</v>
      </c>
    </row>
    <row r="539" spans="1:6" x14ac:dyDescent="0.25">
      <c r="A539" s="1">
        <v>29784</v>
      </c>
      <c r="B539">
        <v>16.739999999999998</v>
      </c>
      <c r="C539" s="11">
        <f t="shared" si="32"/>
        <v>0.16739999999999999</v>
      </c>
      <c r="D539">
        <f t="shared" si="33"/>
        <v>1981</v>
      </c>
      <c r="E539" t="str">
        <f t="shared" si="34"/>
        <v>Jul-1981</v>
      </c>
      <c r="F539" s="12">
        <f t="shared" si="35"/>
        <v>6.36</v>
      </c>
    </row>
    <row r="540" spans="1:6" x14ac:dyDescent="0.25">
      <c r="A540" s="1">
        <v>29791</v>
      </c>
      <c r="B540">
        <v>16.88</v>
      </c>
      <c r="C540" s="11">
        <f t="shared" si="32"/>
        <v>0.16879999999999998</v>
      </c>
      <c r="D540">
        <f t="shared" si="33"/>
        <v>1981</v>
      </c>
      <c r="E540" t="str">
        <f t="shared" si="34"/>
        <v>Jul-1981</v>
      </c>
      <c r="F540" s="12">
        <f t="shared" si="35"/>
        <v>6.36</v>
      </c>
    </row>
    <row r="541" spans="1:6" x14ac:dyDescent="0.25">
      <c r="A541" s="1">
        <v>29798</v>
      </c>
      <c r="B541">
        <v>17.11</v>
      </c>
      <c r="C541" s="11">
        <f t="shared" si="32"/>
        <v>0.1711</v>
      </c>
      <c r="D541">
        <f t="shared" si="33"/>
        <v>1981</v>
      </c>
      <c r="E541" t="str">
        <f t="shared" si="34"/>
        <v>Jul-1981</v>
      </c>
      <c r="F541" s="12">
        <f t="shared" si="35"/>
        <v>6.36</v>
      </c>
    </row>
    <row r="542" spans="1:6" x14ac:dyDescent="0.25">
      <c r="A542" s="1">
        <v>29805</v>
      </c>
      <c r="B542">
        <v>17.13</v>
      </c>
      <c r="C542" s="11">
        <f t="shared" si="32"/>
        <v>0.17129999999999998</v>
      </c>
      <c r="D542">
        <f t="shared" si="33"/>
        <v>1981</v>
      </c>
      <c r="E542" t="str">
        <f t="shared" si="34"/>
        <v>Aug-1981</v>
      </c>
      <c r="F542" s="12">
        <f t="shared" si="35"/>
        <v>6.36</v>
      </c>
    </row>
    <row r="543" spans="1:6" x14ac:dyDescent="0.25">
      <c r="A543" s="1">
        <v>29812</v>
      </c>
      <c r="B543">
        <v>17.27</v>
      </c>
      <c r="C543" s="11">
        <f t="shared" si="32"/>
        <v>0.17269999999999999</v>
      </c>
      <c r="D543">
        <f t="shared" si="33"/>
        <v>1981</v>
      </c>
      <c r="E543" t="str">
        <f t="shared" si="34"/>
        <v>Aug-1981</v>
      </c>
      <c r="F543" s="12">
        <f t="shared" si="35"/>
        <v>6.36</v>
      </c>
    </row>
    <row r="544" spans="1:6" x14ac:dyDescent="0.25">
      <c r="A544" s="1">
        <v>29819</v>
      </c>
      <c r="B544">
        <v>17.260000000000002</v>
      </c>
      <c r="C544" s="11">
        <f t="shared" si="32"/>
        <v>0.1726</v>
      </c>
      <c r="D544">
        <f t="shared" si="33"/>
        <v>1981</v>
      </c>
      <c r="E544" t="str">
        <f t="shared" si="34"/>
        <v>Aug-1981</v>
      </c>
      <c r="F544" s="12">
        <f t="shared" si="35"/>
        <v>6.36</v>
      </c>
    </row>
    <row r="545" spans="1:6" x14ac:dyDescent="0.25">
      <c r="A545" s="1">
        <v>29826</v>
      </c>
      <c r="B545">
        <v>17.48</v>
      </c>
      <c r="C545" s="11">
        <f t="shared" si="32"/>
        <v>0.17480000000000001</v>
      </c>
      <c r="D545">
        <f t="shared" si="33"/>
        <v>1981</v>
      </c>
      <c r="E545" t="str">
        <f t="shared" si="34"/>
        <v>Aug-1981</v>
      </c>
      <c r="F545" s="12">
        <f t="shared" si="35"/>
        <v>6.36</v>
      </c>
    </row>
    <row r="546" spans="1:6" x14ac:dyDescent="0.25">
      <c r="A546" s="1">
        <v>29833</v>
      </c>
      <c r="B546">
        <v>17.79</v>
      </c>
      <c r="C546" s="11">
        <f t="shared" si="32"/>
        <v>0.1779</v>
      </c>
      <c r="D546">
        <f t="shared" si="33"/>
        <v>1981</v>
      </c>
      <c r="E546" t="str">
        <f t="shared" si="34"/>
        <v>Sep-1981</v>
      </c>
      <c r="F546" s="12">
        <f t="shared" si="35"/>
        <v>6.36</v>
      </c>
    </row>
    <row r="547" spans="1:6" x14ac:dyDescent="0.25">
      <c r="A547" s="1">
        <v>29840</v>
      </c>
      <c r="B547">
        <v>18.22</v>
      </c>
      <c r="C547" s="11">
        <f t="shared" si="32"/>
        <v>0.1822</v>
      </c>
      <c r="D547">
        <f t="shared" si="33"/>
        <v>1981</v>
      </c>
      <c r="E547" t="str">
        <f t="shared" si="34"/>
        <v>Sep-1981</v>
      </c>
      <c r="F547" s="12">
        <f t="shared" si="35"/>
        <v>6.36</v>
      </c>
    </row>
    <row r="548" spans="1:6" x14ac:dyDescent="0.25">
      <c r="A548" s="1">
        <v>29847</v>
      </c>
      <c r="B548">
        <v>18.27</v>
      </c>
      <c r="C548" s="11">
        <f t="shared" si="32"/>
        <v>0.1827</v>
      </c>
      <c r="D548">
        <f t="shared" si="33"/>
        <v>1981</v>
      </c>
      <c r="E548" t="str">
        <f t="shared" si="34"/>
        <v>Sep-1981</v>
      </c>
      <c r="F548" s="12">
        <f t="shared" si="35"/>
        <v>6.36</v>
      </c>
    </row>
    <row r="549" spans="1:6" x14ac:dyDescent="0.25">
      <c r="A549" s="1">
        <v>29854</v>
      </c>
      <c r="B549">
        <v>18.36</v>
      </c>
      <c r="C549" s="11">
        <f t="shared" si="32"/>
        <v>0.18359999999999999</v>
      </c>
      <c r="D549">
        <f t="shared" si="33"/>
        <v>1981</v>
      </c>
      <c r="E549" t="str">
        <f t="shared" si="34"/>
        <v>Sep-1981</v>
      </c>
      <c r="F549" s="12">
        <f t="shared" si="35"/>
        <v>6.36</v>
      </c>
    </row>
    <row r="550" spans="1:6" x14ac:dyDescent="0.25">
      <c r="A550" s="1">
        <v>29861</v>
      </c>
      <c r="B550">
        <v>18.28</v>
      </c>
      <c r="C550" s="11">
        <f t="shared" si="32"/>
        <v>0.18280000000000002</v>
      </c>
      <c r="D550">
        <f t="shared" si="33"/>
        <v>1981</v>
      </c>
      <c r="E550" t="str">
        <f t="shared" si="34"/>
        <v>Oct-1981</v>
      </c>
      <c r="F550" s="12">
        <f t="shared" si="35"/>
        <v>6.36</v>
      </c>
    </row>
    <row r="551" spans="1:6" x14ac:dyDescent="0.25">
      <c r="A551" s="1">
        <v>29868</v>
      </c>
      <c r="B551">
        <v>18.63</v>
      </c>
      <c r="C551" s="11">
        <f t="shared" si="32"/>
        <v>0.18629999999999999</v>
      </c>
      <c r="D551">
        <f t="shared" si="33"/>
        <v>1981</v>
      </c>
      <c r="E551" t="str">
        <f t="shared" si="34"/>
        <v>Oct-1981</v>
      </c>
      <c r="F551" s="12">
        <f t="shared" si="35"/>
        <v>6.36</v>
      </c>
    </row>
    <row r="552" spans="1:6" x14ac:dyDescent="0.25">
      <c r="A552" s="1">
        <v>29875</v>
      </c>
      <c r="B552">
        <v>18.53</v>
      </c>
      <c r="C552" s="11">
        <f t="shared" si="32"/>
        <v>0.18530000000000002</v>
      </c>
      <c r="D552">
        <f t="shared" si="33"/>
        <v>1981</v>
      </c>
      <c r="E552" t="str">
        <f t="shared" si="34"/>
        <v>Oct-1981</v>
      </c>
      <c r="F552" s="12">
        <f t="shared" si="35"/>
        <v>6.36</v>
      </c>
    </row>
    <row r="553" spans="1:6" x14ac:dyDescent="0.25">
      <c r="A553" s="1">
        <v>29880</v>
      </c>
      <c r="B553">
        <v>18.39</v>
      </c>
      <c r="C553" s="11">
        <f t="shared" si="32"/>
        <v>0.18390000000000001</v>
      </c>
      <c r="D553">
        <f t="shared" si="33"/>
        <v>1981</v>
      </c>
      <c r="E553" t="str">
        <f t="shared" si="34"/>
        <v>Oct-1981</v>
      </c>
      <c r="F553" s="12">
        <f t="shared" si="35"/>
        <v>6.36</v>
      </c>
    </row>
    <row r="554" spans="1:6" x14ac:dyDescent="0.25">
      <c r="A554" s="1">
        <v>29889</v>
      </c>
      <c r="B554">
        <v>18.440000000000001</v>
      </c>
      <c r="C554" s="11">
        <f t="shared" si="32"/>
        <v>0.18440000000000001</v>
      </c>
      <c r="D554">
        <f t="shared" si="33"/>
        <v>1981</v>
      </c>
      <c r="E554" t="str">
        <f t="shared" si="34"/>
        <v>Oct-1981</v>
      </c>
      <c r="F554" s="12">
        <f t="shared" si="35"/>
        <v>6.36</v>
      </c>
    </row>
    <row r="555" spans="1:6" x14ac:dyDescent="0.25">
      <c r="A555" s="1">
        <v>29896</v>
      </c>
      <c r="B555">
        <v>18.37</v>
      </c>
      <c r="C555" s="11">
        <f t="shared" si="32"/>
        <v>0.1837</v>
      </c>
      <c r="D555">
        <f t="shared" si="33"/>
        <v>1981</v>
      </c>
      <c r="E555" t="str">
        <f t="shared" si="34"/>
        <v>Nov-1981</v>
      </c>
      <c r="F555" s="12">
        <f t="shared" si="35"/>
        <v>6.36</v>
      </c>
    </row>
    <row r="556" spans="1:6" x14ac:dyDescent="0.25">
      <c r="A556" s="1">
        <v>29903</v>
      </c>
      <c r="B556">
        <v>18.02</v>
      </c>
      <c r="C556" s="11">
        <f t="shared" si="32"/>
        <v>0.1802</v>
      </c>
      <c r="D556">
        <f t="shared" si="33"/>
        <v>1981</v>
      </c>
      <c r="E556" t="str">
        <f t="shared" si="34"/>
        <v>Nov-1981</v>
      </c>
      <c r="F556" s="12">
        <f t="shared" si="35"/>
        <v>6.36</v>
      </c>
    </row>
    <row r="557" spans="1:6" x14ac:dyDescent="0.25">
      <c r="A557" s="1">
        <v>29910</v>
      </c>
      <c r="B557">
        <v>17.7</v>
      </c>
      <c r="C557" s="11">
        <f t="shared" si="32"/>
        <v>0.17699999999999999</v>
      </c>
      <c r="D557">
        <f t="shared" si="33"/>
        <v>1981</v>
      </c>
      <c r="E557" t="str">
        <f t="shared" si="34"/>
        <v>Nov-1981</v>
      </c>
      <c r="F557" s="12">
        <f t="shared" si="35"/>
        <v>6.36</v>
      </c>
    </row>
    <row r="558" spans="1:6" x14ac:dyDescent="0.25">
      <c r="A558" s="1">
        <v>29917</v>
      </c>
      <c r="B558">
        <v>17.21</v>
      </c>
      <c r="C558" s="11">
        <f t="shared" si="32"/>
        <v>0.1721</v>
      </c>
      <c r="D558">
        <f t="shared" si="33"/>
        <v>1981</v>
      </c>
      <c r="E558" t="str">
        <f t="shared" si="34"/>
        <v>Nov-1981</v>
      </c>
      <c r="F558" s="12">
        <f t="shared" si="35"/>
        <v>6.36</v>
      </c>
    </row>
    <row r="559" spans="1:6" x14ac:dyDescent="0.25">
      <c r="A559" s="1">
        <v>29924</v>
      </c>
      <c r="B559">
        <v>16.899999999999999</v>
      </c>
      <c r="C559" s="11">
        <f t="shared" si="32"/>
        <v>0.16899999999999998</v>
      </c>
      <c r="D559">
        <f t="shared" si="33"/>
        <v>1981</v>
      </c>
      <c r="E559" t="str">
        <f t="shared" si="34"/>
        <v>Dec-1981</v>
      </c>
      <c r="F559" s="12">
        <f t="shared" si="35"/>
        <v>6.36</v>
      </c>
    </row>
    <row r="560" spans="1:6" x14ac:dyDescent="0.25">
      <c r="A560" s="1">
        <v>29931</v>
      </c>
      <c r="B560">
        <v>16.940000000000001</v>
      </c>
      <c r="C560" s="11">
        <f t="shared" si="32"/>
        <v>0.16940000000000002</v>
      </c>
      <c r="D560">
        <f t="shared" si="33"/>
        <v>1981</v>
      </c>
      <c r="E560" t="str">
        <f t="shared" si="34"/>
        <v>Dec-1981</v>
      </c>
      <c r="F560" s="12">
        <f t="shared" si="35"/>
        <v>6.36</v>
      </c>
    </row>
    <row r="561" spans="1:6" x14ac:dyDescent="0.25">
      <c r="A561" s="1">
        <v>29938</v>
      </c>
      <c r="B561">
        <v>16.899999999999999</v>
      </c>
      <c r="C561" s="11">
        <f t="shared" si="32"/>
        <v>0.16899999999999998</v>
      </c>
      <c r="D561">
        <f t="shared" si="33"/>
        <v>1981</v>
      </c>
      <c r="E561" t="str">
        <f t="shared" si="34"/>
        <v>Dec-1981</v>
      </c>
      <c r="F561" s="12">
        <f t="shared" si="35"/>
        <v>6.36</v>
      </c>
    </row>
    <row r="562" spans="1:6" x14ac:dyDescent="0.25">
      <c r="A562" s="1">
        <v>29945</v>
      </c>
      <c r="B562">
        <v>16.95</v>
      </c>
      <c r="C562" s="11">
        <f t="shared" si="32"/>
        <v>0.16949999999999998</v>
      </c>
      <c r="D562">
        <f t="shared" si="33"/>
        <v>1981</v>
      </c>
      <c r="E562" t="str">
        <f t="shared" si="34"/>
        <v>Dec-1981</v>
      </c>
      <c r="F562" s="12">
        <f t="shared" si="35"/>
        <v>6.36</v>
      </c>
    </row>
    <row r="563" spans="1:6" x14ac:dyDescent="0.25">
      <c r="A563" s="1">
        <v>29951</v>
      </c>
      <c r="B563">
        <v>17.04</v>
      </c>
      <c r="C563" s="11">
        <f t="shared" si="32"/>
        <v>0.1704</v>
      </c>
      <c r="D563">
        <f t="shared" si="33"/>
        <v>1981</v>
      </c>
      <c r="E563" t="str">
        <f t="shared" si="34"/>
        <v>Dec-1981</v>
      </c>
      <c r="F563" s="12">
        <f t="shared" si="35"/>
        <v>6.36</v>
      </c>
    </row>
    <row r="564" spans="1:6" x14ac:dyDescent="0.25">
      <c r="A564" s="1">
        <v>29959</v>
      </c>
      <c r="B564">
        <v>17.3</v>
      </c>
      <c r="C564" s="11">
        <f t="shared" si="32"/>
        <v>0.17300000000000001</v>
      </c>
      <c r="D564">
        <f t="shared" si="33"/>
        <v>1982</v>
      </c>
      <c r="E564" t="str">
        <f t="shared" si="34"/>
        <v>Jan-1982</v>
      </c>
      <c r="F564" s="12">
        <f t="shared" si="35"/>
        <v>6.36</v>
      </c>
    </row>
    <row r="565" spans="1:6" x14ac:dyDescent="0.25">
      <c r="A565" s="1">
        <v>29966</v>
      </c>
      <c r="B565">
        <v>17.440000000000001</v>
      </c>
      <c r="C565" s="11">
        <f t="shared" si="32"/>
        <v>0.1744</v>
      </c>
      <c r="D565">
        <f t="shared" si="33"/>
        <v>1982</v>
      </c>
      <c r="E565" t="str">
        <f t="shared" si="34"/>
        <v>Jan-1982</v>
      </c>
      <c r="F565" s="12">
        <f t="shared" si="35"/>
        <v>6.36</v>
      </c>
    </row>
    <row r="566" spans="1:6" x14ac:dyDescent="0.25">
      <c r="A566" s="1">
        <v>29973</v>
      </c>
      <c r="B566">
        <v>17.61</v>
      </c>
      <c r="C566" s="11">
        <f t="shared" si="32"/>
        <v>0.17610000000000001</v>
      </c>
      <c r="D566">
        <f t="shared" si="33"/>
        <v>1982</v>
      </c>
      <c r="E566" t="str">
        <f t="shared" si="34"/>
        <v>Jan-1982</v>
      </c>
      <c r="F566" s="12">
        <f t="shared" si="35"/>
        <v>6.36</v>
      </c>
    </row>
    <row r="567" spans="1:6" x14ac:dyDescent="0.25">
      <c r="A567" s="1">
        <v>29980</v>
      </c>
      <c r="B567">
        <v>17.59</v>
      </c>
      <c r="C567" s="11">
        <f t="shared" si="32"/>
        <v>0.1759</v>
      </c>
      <c r="D567">
        <f t="shared" si="33"/>
        <v>1982</v>
      </c>
      <c r="E567" t="str">
        <f t="shared" si="34"/>
        <v>Jan-1982</v>
      </c>
      <c r="F567" s="12">
        <f t="shared" si="35"/>
        <v>6.36</v>
      </c>
    </row>
    <row r="568" spans="1:6" x14ac:dyDescent="0.25">
      <c r="A568" s="1">
        <v>29987</v>
      </c>
      <c r="B568">
        <v>17.559999999999999</v>
      </c>
      <c r="C568" s="11">
        <f t="shared" si="32"/>
        <v>0.17559999999999998</v>
      </c>
      <c r="D568">
        <f t="shared" si="33"/>
        <v>1982</v>
      </c>
      <c r="E568" t="str">
        <f t="shared" si="34"/>
        <v>Feb-1982</v>
      </c>
      <c r="F568" s="12">
        <f t="shared" si="35"/>
        <v>6.36</v>
      </c>
    </row>
    <row r="569" spans="1:6" x14ac:dyDescent="0.25">
      <c r="A569" s="1">
        <v>29994</v>
      </c>
      <c r="B569">
        <v>17.649999999999999</v>
      </c>
      <c r="C569" s="11">
        <f t="shared" si="32"/>
        <v>0.17649999999999999</v>
      </c>
      <c r="D569">
        <f t="shared" si="33"/>
        <v>1982</v>
      </c>
      <c r="E569" t="str">
        <f t="shared" si="34"/>
        <v>Feb-1982</v>
      </c>
      <c r="F569" s="12">
        <f t="shared" si="35"/>
        <v>6.36</v>
      </c>
    </row>
    <row r="570" spans="1:6" x14ac:dyDescent="0.25">
      <c r="A570" s="1">
        <v>30001</v>
      </c>
      <c r="B570">
        <v>17.66</v>
      </c>
      <c r="C570" s="11">
        <f t="shared" si="32"/>
        <v>0.17660000000000001</v>
      </c>
      <c r="D570">
        <f t="shared" si="33"/>
        <v>1982</v>
      </c>
      <c r="E570" t="str">
        <f t="shared" si="34"/>
        <v>Feb-1982</v>
      </c>
      <c r="F570" s="12">
        <f t="shared" si="35"/>
        <v>6.36</v>
      </c>
    </row>
    <row r="571" spans="1:6" x14ac:dyDescent="0.25">
      <c r="A571" s="1">
        <v>30008</v>
      </c>
      <c r="B571">
        <v>17.52</v>
      </c>
      <c r="C571" s="11">
        <f t="shared" si="32"/>
        <v>0.17519999999999999</v>
      </c>
      <c r="D571">
        <f t="shared" si="33"/>
        <v>1982</v>
      </c>
      <c r="E571" t="str">
        <f t="shared" si="34"/>
        <v>Feb-1982</v>
      </c>
      <c r="F571" s="12">
        <f t="shared" si="35"/>
        <v>6.36</v>
      </c>
    </row>
    <row r="572" spans="1:6" x14ac:dyDescent="0.25">
      <c r="A572" s="1">
        <v>30015</v>
      </c>
      <c r="B572">
        <v>17.29</v>
      </c>
      <c r="C572" s="11">
        <f t="shared" si="32"/>
        <v>0.1729</v>
      </c>
      <c r="D572">
        <f t="shared" si="33"/>
        <v>1982</v>
      </c>
      <c r="E572" t="str">
        <f t="shared" si="34"/>
        <v>Mar-1982</v>
      </c>
      <c r="F572" s="12">
        <f t="shared" si="35"/>
        <v>6.36</v>
      </c>
    </row>
    <row r="573" spans="1:6" x14ac:dyDescent="0.25">
      <c r="A573" s="1">
        <v>30022</v>
      </c>
      <c r="B573">
        <v>17.190000000000001</v>
      </c>
      <c r="C573" s="11">
        <f t="shared" si="32"/>
        <v>0.17190000000000003</v>
      </c>
      <c r="D573">
        <f t="shared" si="33"/>
        <v>1982</v>
      </c>
      <c r="E573" t="str">
        <f t="shared" si="34"/>
        <v>Mar-1982</v>
      </c>
      <c r="F573" s="12">
        <f t="shared" si="35"/>
        <v>6.36</v>
      </c>
    </row>
    <row r="574" spans="1:6" x14ac:dyDescent="0.25">
      <c r="A574" s="1">
        <v>30029</v>
      </c>
      <c r="B574">
        <v>17.12</v>
      </c>
      <c r="C574" s="11">
        <f t="shared" si="32"/>
        <v>0.17120000000000002</v>
      </c>
      <c r="D574">
        <f t="shared" si="33"/>
        <v>1982</v>
      </c>
      <c r="E574" t="str">
        <f t="shared" si="34"/>
        <v>Mar-1982</v>
      </c>
      <c r="F574" s="12">
        <f t="shared" si="35"/>
        <v>6.36</v>
      </c>
    </row>
    <row r="575" spans="1:6" x14ac:dyDescent="0.25">
      <c r="A575" s="1">
        <v>30036</v>
      </c>
      <c r="B575">
        <v>17.04</v>
      </c>
      <c r="C575" s="11">
        <f t="shared" si="32"/>
        <v>0.1704</v>
      </c>
      <c r="D575">
        <f t="shared" si="33"/>
        <v>1982</v>
      </c>
      <c r="E575" t="str">
        <f t="shared" si="34"/>
        <v>Mar-1982</v>
      </c>
      <c r="F575" s="12">
        <f t="shared" si="35"/>
        <v>6.36</v>
      </c>
    </row>
    <row r="576" spans="1:6" x14ac:dyDescent="0.25">
      <c r="A576" s="1">
        <v>30043</v>
      </c>
      <c r="B576">
        <v>16.95</v>
      </c>
      <c r="C576" s="11">
        <f t="shared" si="32"/>
        <v>0.16949999999999998</v>
      </c>
      <c r="D576">
        <f t="shared" si="33"/>
        <v>1982</v>
      </c>
      <c r="E576" t="str">
        <f t="shared" si="34"/>
        <v>Apr-1982</v>
      </c>
      <c r="F576" s="12">
        <f t="shared" si="35"/>
        <v>6.36</v>
      </c>
    </row>
    <row r="577" spans="1:6" x14ac:dyDescent="0.25">
      <c r="A577" s="1">
        <v>30050</v>
      </c>
      <c r="B577">
        <v>16.91</v>
      </c>
      <c r="C577" s="11">
        <f t="shared" si="32"/>
        <v>0.1691</v>
      </c>
      <c r="D577">
        <f t="shared" si="33"/>
        <v>1982</v>
      </c>
      <c r="E577" t="str">
        <f t="shared" si="34"/>
        <v>Apr-1982</v>
      </c>
      <c r="F577" s="12">
        <f t="shared" si="35"/>
        <v>6.36</v>
      </c>
    </row>
    <row r="578" spans="1:6" x14ac:dyDescent="0.25">
      <c r="A578" s="1">
        <v>30057</v>
      </c>
      <c r="B578">
        <v>16.93</v>
      </c>
      <c r="C578" s="11">
        <f t="shared" ref="C578:C641" si="36">B578/100</f>
        <v>0.16930000000000001</v>
      </c>
      <c r="D578">
        <f t="shared" ref="D578:D641" si="37">YEAR(A578)</f>
        <v>1982</v>
      </c>
      <c r="E578" t="str">
        <f t="shared" ref="E578:E641" si="38">TEXT(A578,"MMM-YYYY")</f>
        <v>Apr-1982</v>
      </c>
      <c r="F578" s="12">
        <f t="shared" ref="F578:F641" si="39">$H$2</f>
        <v>6.36</v>
      </c>
    </row>
    <row r="579" spans="1:6" x14ac:dyDescent="0.25">
      <c r="A579" s="1">
        <v>30064</v>
      </c>
      <c r="B579">
        <v>16.86</v>
      </c>
      <c r="C579" s="11">
        <f t="shared" si="36"/>
        <v>0.1686</v>
      </c>
      <c r="D579">
        <f t="shared" si="37"/>
        <v>1982</v>
      </c>
      <c r="E579" t="str">
        <f t="shared" si="38"/>
        <v>Apr-1982</v>
      </c>
      <c r="F579" s="12">
        <f t="shared" si="39"/>
        <v>6.36</v>
      </c>
    </row>
    <row r="580" spans="1:6" x14ac:dyDescent="0.25">
      <c r="A580" s="1">
        <v>30071</v>
      </c>
      <c r="B580">
        <v>16.809999999999999</v>
      </c>
      <c r="C580" s="11">
        <f t="shared" si="36"/>
        <v>0.1681</v>
      </c>
      <c r="D580">
        <f t="shared" si="37"/>
        <v>1982</v>
      </c>
      <c r="E580" t="str">
        <f t="shared" si="38"/>
        <v>Apr-1982</v>
      </c>
      <c r="F580" s="12">
        <f t="shared" si="39"/>
        <v>6.36</v>
      </c>
    </row>
    <row r="581" spans="1:6" x14ac:dyDescent="0.25">
      <c r="A581" s="1">
        <v>30078</v>
      </c>
      <c r="B581">
        <v>16.78</v>
      </c>
      <c r="C581" s="11">
        <f t="shared" si="36"/>
        <v>0.1678</v>
      </c>
      <c r="D581">
        <f t="shared" si="37"/>
        <v>1982</v>
      </c>
      <c r="E581" t="str">
        <f t="shared" si="38"/>
        <v>May-1982</v>
      </c>
      <c r="F581" s="12">
        <f t="shared" si="39"/>
        <v>6.36</v>
      </c>
    </row>
    <row r="582" spans="1:6" x14ac:dyDescent="0.25">
      <c r="A582" s="1">
        <v>30085</v>
      </c>
      <c r="B582">
        <v>16.63</v>
      </c>
      <c r="C582" s="11">
        <f t="shared" si="36"/>
        <v>0.1663</v>
      </c>
      <c r="D582">
        <f t="shared" si="37"/>
        <v>1982</v>
      </c>
      <c r="E582" t="str">
        <f t="shared" si="38"/>
        <v>May-1982</v>
      </c>
      <c r="F582" s="12">
        <f t="shared" si="39"/>
        <v>6.36</v>
      </c>
    </row>
    <row r="583" spans="1:6" x14ac:dyDescent="0.25">
      <c r="A583" s="1">
        <v>30092</v>
      </c>
      <c r="B583">
        <v>16.670000000000002</v>
      </c>
      <c r="C583" s="11">
        <f t="shared" si="36"/>
        <v>0.16670000000000001</v>
      </c>
      <c r="D583">
        <f t="shared" si="37"/>
        <v>1982</v>
      </c>
      <c r="E583" t="str">
        <f t="shared" si="38"/>
        <v>May-1982</v>
      </c>
      <c r="F583" s="12">
        <f t="shared" si="39"/>
        <v>6.36</v>
      </c>
    </row>
    <row r="584" spans="1:6" x14ac:dyDescent="0.25">
      <c r="A584" s="1">
        <v>30099</v>
      </c>
      <c r="B584">
        <v>16.63</v>
      </c>
      <c r="C584" s="11">
        <f t="shared" si="36"/>
        <v>0.1663</v>
      </c>
      <c r="D584">
        <f t="shared" si="37"/>
        <v>1982</v>
      </c>
      <c r="E584" t="str">
        <f t="shared" si="38"/>
        <v>May-1982</v>
      </c>
      <c r="F584" s="12">
        <f t="shared" si="39"/>
        <v>6.36</v>
      </c>
    </row>
    <row r="585" spans="1:6" x14ac:dyDescent="0.25">
      <c r="A585" s="1">
        <v>30106</v>
      </c>
      <c r="B585">
        <v>16.649999999999999</v>
      </c>
      <c r="C585" s="11">
        <f t="shared" si="36"/>
        <v>0.16649999999999998</v>
      </c>
      <c r="D585">
        <f t="shared" si="37"/>
        <v>1982</v>
      </c>
      <c r="E585" t="str">
        <f t="shared" si="38"/>
        <v>Jun-1982</v>
      </c>
      <c r="F585" s="12">
        <f t="shared" si="39"/>
        <v>6.36</v>
      </c>
    </row>
    <row r="586" spans="1:6" x14ac:dyDescent="0.25">
      <c r="A586" s="1">
        <v>30113</v>
      </c>
      <c r="B586">
        <v>16.7</v>
      </c>
      <c r="C586" s="11">
        <f t="shared" si="36"/>
        <v>0.16699999999999998</v>
      </c>
      <c r="D586">
        <f t="shared" si="37"/>
        <v>1982</v>
      </c>
      <c r="E586" t="str">
        <f t="shared" si="38"/>
        <v>Jun-1982</v>
      </c>
      <c r="F586" s="12">
        <f t="shared" si="39"/>
        <v>6.36</v>
      </c>
    </row>
    <row r="587" spans="1:6" x14ac:dyDescent="0.25">
      <c r="A587" s="1">
        <v>30120</v>
      </c>
      <c r="B587">
        <v>16.71</v>
      </c>
      <c r="C587" s="11">
        <f t="shared" si="36"/>
        <v>0.1671</v>
      </c>
      <c r="D587">
        <f t="shared" si="37"/>
        <v>1982</v>
      </c>
      <c r="E587" t="str">
        <f t="shared" si="38"/>
        <v>Jun-1982</v>
      </c>
      <c r="F587" s="12">
        <f t="shared" si="39"/>
        <v>6.36</v>
      </c>
    </row>
    <row r="588" spans="1:6" x14ac:dyDescent="0.25">
      <c r="A588" s="1">
        <v>30127</v>
      </c>
      <c r="B588">
        <v>16.73</v>
      </c>
      <c r="C588" s="11">
        <f t="shared" si="36"/>
        <v>0.1673</v>
      </c>
      <c r="D588">
        <f t="shared" si="37"/>
        <v>1982</v>
      </c>
      <c r="E588" t="str">
        <f t="shared" si="38"/>
        <v>Jun-1982</v>
      </c>
      <c r="F588" s="12">
        <f t="shared" si="39"/>
        <v>6.36</v>
      </c>
    </row>
    <row r="589" spans="1:6" x14ac:dyDescent="0.25">
      <c r="A589" s="1">
        <v>30134</v>
      </c>
      <c r="B589">
        <v>16.87</v>
      </c>
      <c r="C589" s="11">
        <f t="shared" si="36"/>
        <v>0.16870000000000002</v>
      </c>
      <c r="D589">
        <f t="shared" si="37"/>
        <v>1982</v>
      </c>
      <c r="E589" t="str">
        <f t="shared" si="38"/>
        <v>Jul-1982</v>
      </c>
      <c r="F589" s="12">
        <f t="shared" si="39"/>
        <v>6.36</v>
      </c>
    </row>
    <row r="590" spans="1:6" x14ac:dyDescent="0.25">
      <c r="A590" s="1">
        <v>30141</v>
      </c>
      <c r="B590">
        <v>16.93</v>
      </c>
      <c r="C590" s="11">
        <f t="shared" si="36"/>
        <v>0.16930000000000001</v>
      </c>
      <c r="D590">
        <f t="shared" si="37"/>
        <v>1982</v>
      </c>
      <c r="E590" t="str">
        <f t="shared" si="38"/>
        <v>Jul-1982</v>
      </c>
      <c r="F590" s="12">
        <f t="shared" si="39"/>
        <v>6.36</v>
      </c>
    </row>
    <row r="591" spans="1:6" x14ac:dyDescent="0.25">
      <c r="A591" s="1">
        <v>30148</v>
      </c>
      <c r="B591">
        <v>16.88</v>
      </c>
      <c r="C591" s="11">
        <f t="shared" si="36"/>
        <v>0.16879999999999998</v>
      </c>
      <c r="D591">
        <f t="shared" si="37"/>
        <v>1982</v>
      </c>
      <c r="E591" t="str">
        <f t="shared" si="38"/>
        <v>Jul-1982</v>
      </c>
      <c r="F591" s="12">
        <f t="shared" si="39"/>
        <v>6.36</v>
      </c>
    </row>
    <row r="592" spans="1:6" x14ac:dyDescent="0.25">
      <c r="A592" s="1">
        <v>30155</v>
      </c>
      <c r="B592">
        <v>16.75</v>
      </c>
      <c r="C592" s="11">
        <f t="shared" si="36"/>
        <v>0.16750000000000001</v>
      </c>
      <c r="D592">
        <f t="shared" si="37"/>
        <v>1982</v>
      </c>
      <c r="E592" t="str">
        <f t="shared" si="38"/>
        <v>Jul-1982</v>
      </c>
      <c r="F592" s="12">
        <f t="shared" si="39"/>
        <v>6.36</v>
      </c>
    </row>
    <row r="593" spans="1:6" x14ac:dyDescent="0.25">
      <c r="A593" s="1">
        <v>30162</v>
      </c>
      <c r="B593">
        <v>16.649999999999999</v>
      </c>
      <c r="C593" s="11">
        <f t="shared" si="36"/>
        <v>0.16649999999999998</v>
      </c>
      <c r="D593">
        <f t="shared" si="37"/>
        <v>1982</v>
      </c>
      <c r="E593" t="str">
        <f t="shared" si="38"/>
        <v>Jul-1982</v>
      </c>
      <c r="F593" s="12">
        <f t="shared" si="39"/>
        <v>6.36</v>
      </c>
    </row>
    <row r="594" spans="1:6" x14ac:dyDescent="0.25">
      <c r="A594" s="1">
        <v>30169</v>
      </c>
      <c r="B594">
        <v>16.55</v>
      </c>
      <c r="C594" s="11">
        <f t="shared" si="36"/>
        <v>0.16550000000000001</v>
      </c>
      <c r="D594">
        <f t="shared" si="37"/>
        <v>1982</v>
      </c>
      <c r="E594" t="str">
        <f t="shared" si="38"/>
        <v>Aug-1982</v>
      </c>
      <c r="F594" s="12">
        <f t="shared" si="39"/>
        <v>6.36</v>
      </c>
    </row>
    <row r="595" spans="1:6" x14ac:dyDescent="0.25">
      <c r="A595" s="1">
        <v>30176</v>
      </c>
      <c r="B595">
        <v>16.440000000000001</v>
      </c>
      <c r="C595" s="11">
        <f t="shared" si="36"/>
        <v>0.16440000000000002</v>
      </c>
      <c r="D595">
        <f t="shared" si="37"/>
        <v>1982</v>
      </c>
      <c r="E595" t="str">
        <f t="shared" si="38"/>
        <v>Aug-1982</v>
      </c>
      <c r="F595" s="12">
        <f t="shared" si="39"/>
        <v>6.36</v>
      </c>
    </row>
    <row r="596" spans="1:6" x14ac:dyDescent="0.25">
      <c r="A596" s="1">
        <v>30183</v>
      </c>
      <c r="B596">
        <v>16.21</v>
      </c>
      <c r="C596" s="11">
        <f t="shared" si="36"/>
        <v>0.16210000000000002</v>
      </c>
      <c r="D596">
        <f t="shared" si="37"/>
        <v>1982</v>
      </c>
      <c r="E596" t="str">
        <f t="shared" si="38"/>
        <v>Aug-1982</v>
      </c>
      <c r="F596" s="12">
        <f t="shared" si="39"/>
        <v>6.36</v>
      </c>
    </row>
    <row r="597" spans="1:6" x14ac:dyDescent="0.25">
      <c r="A597" s="1">
        <v>30190</v>
      </c>
      <c r="B597">
        <v>15.88</v>
      </c>
      <c r="C597" s="11">
        <f t="shared" si="36"/>
        <v>0.1588</v>
      </c>
      <c r="D597">
        <f t="shared" si="37"/>
        <v>1982</v>
      </c>
      <c r="E597" t="str">
        <f t="shared" si="38"/>
        <v>Aug-1982</v>
      </c>
      <c r="F597" s="12">
        <f t="shared" si="39"/>
        <v>6.36</v>
      </c>
    </row>
    <row r="598" spans="1:6" x14ac:dyDescent="0.25">
      <c r="A598" s="1">
        <v>30197</v>
      </c>
      <c r="B598">
        <v>15.59</v>
      </c>
      <c r="C598" s="11">
        <f t="shared" si="36"/>
        <v>0.15590000000000001</v>
      </c>
      <c r="D598">
        <f t="shared" si="37"/>
        <v>1982</v>
      </c>
      <c r="E598" t="str">
        <f t="shared" si="38"/>
        <v>Sep-1982</v>
      </c>
      <c r="F598" s="12">
        <f t="shared" si="39"/>
        <v>6.36</v>
      </c>
    </row>
    <row r="599" spans="1:6" x14ac:dyDescent="0.25">
      <c r="A599" s="1">
        <v>30204</v>
      </c>
      <c r="B599">
        <v>15.56</v>
      </c>
      <c r="C599" s="11">
        <f t="shared" si="36"/>
        <v>0.15560000000000002</v>
      </c>
      <c r="D599">
        <f t="shared" si="37"/>
        <v>1982</v>
      </c>
      <c r="E599" t="str">
        <f t="shared" si="38"/>
        <v>Sep-1982</v>
      </c>
      <c r="F599" s="12">
        <f t="shared" si="39"/>
        <v>6.36</v>
      </c>
    </row>
    <row r="600" spans="1:6" x14ac:dyDescent="0.25">
      <c r="A600" s="1">
        <v>30211</v>
      </c>
      <c r="B600">
        <v>15.38</v>
      </c>
      <c r="C600" s="11">
        <f t="shared" si="36"/>
        <v>0.15380000000000002</v>
      </c>
      <c r="D600">
        <f t="shared" si="37"/>
        <v>1982</v>
      </c>
      <c r="E600" t="str">
        <f t="shared" si="38"/>
        <v>Sep-1982</v>
      </c>
      <c r="F600" s="12">
        <f t="shared" si="39"/>
        <v>6.36</v>
      </c>
    </row>
    <row r="601" spans="1:6" x14ac:dyDescent="0.25">
      <c r="A601" s="1">
        <v>30218</v>
      </c>
      <c r="B601">
        <v>15.19</v>
      </c>
      <c r="C601" s="11">
        <f t="shared" si="36"/>
        <v>0.15190000000000001</v>
      </c>
      <c r="D601">
        <f t="shared" si="37"/>
        <v>1982</v>
      </c>
      <c r="E601" t="str">
        <f t="shared" si="38"/>
        <v>Sep-1982</v>
      </c>
      <c r="F601" s="12">
        <f t="shared" si="39"/>
        <v>6.36</v>
      </c>
    </row>
    <row r="602" spans="1:6" x14ac:dyDescent="0.25">
      <c r="A602" s="1">
        <v>30225</v>
      </c>
      <c r="B602">
        <v>15.13</v>
      </c>
      <c r="C602" s="11">
        <f t="shared" si="36"/>
        <v>0.15130000000000002</v>
      </c>
      <c r="D602">
        <f t="shared" si="37"/>
        <v>1982</v>
      </c>
      <c r="E602" t="str">
        <f t="shared" si="38"/>
        <v>Oct-1982</v>
      </c>
      <c r="F602" s="12">
        <f t="shared" si="39"/>
        <v>6.36</v>
      </c>
    </row>
    <row r="603" spans="1:6" x14ac:dyDescent="0.25">
      <c r="A603" s="1">
        <v>30232</v>
      </c>
      <c r="B603">
        <v>14.96</v>
      </c>
      <c r="C603" s="11">
        <f t="shared" si="36"/>
        <v>0.14960000000000001</v>
      </c>
      <c r="D603">
        <f t="shared" si="37"/>
        <v>1982</v>
      </c>
      <c r="E603" t="str">
        <f t="shared" si="38"/>
        <v>Oct-1982</v>
      </c>
      <c r="F603" s="12">
        <f t="shared" si="39"/>
        <v>6.36</v>
      </c>
    </row>
    <row r="604" spans="1:6" x14ac:dyDescent="0.25">
      <c r="A604" s="1">
        <v>30239</v>
      </c>
      <c r="B604">
        <v>14.6</v>
      </c>
      <c r="C604" s="11">
        <f t="shared" si="36"/>
        <v>0.14599999999999999</v>
      </c>
      <c r="D604">
        <f t="shared" si="37"/>
        <v>1982</v>
      </c>
      <c r="E604" t="str">
        <f t="shared" si="38"/>
        <v>Oct-1982</v>
      </c>
      <c r="F604" s="12">
        <f t="shared" si="39"/>
        <v>6.36</v>
      </c>
    </row>
    <row r="605" spans="1:6" x14ac:dyDescent="0.25">
      <c r="A605" s="1">
        <v>30246</v>
      </c>
      <c r="B605">
        <v>14.2</v>
      </c>
      <c r="C605" s="11">
        <f t="shared" si="36"/>
        <v>0.14199999999999999</v>
      </c>
      <c r="D605">
        <f t="shared" si="37"/>
        <v>1982</v>
      </c>
      <c r="E605" t="str">
        <f t="shared" si="38"/>
        <v>Oct-1982</v>
      </c>
      <c r="F605" s="12">
        <f t="shared" si="39"/>
        <v>6.36</v>
      </c>
    </row>
    <row r="606" spans="1:6" x14ac:dyDescent="0.25">
      <c r="A606" s="1">
        <v>30253</v>
      </c>
      <c r="B606">
        <v>14.15</v>
      </c>
      <c r="C606" s="11">
        <f t="shared" si="36"/>
        <v>0.14150000000000001</v>
      </c>
      <c r="D606">
        <f t="shared" si="37"/>
        <v>1982</v>
      </c>
      <c r="E606" t="str">
        <f t="shared" si="38"/>
        <v>Oct-1982</v>
      </c>
      <c r="F606" s="12">
        <f t="shared" si="39"/>
        <v>6.36</v>
      </c>
    </row>
    <row r="607" spans="1:6" x14ac:dyDescent="0.25">
      <c r="A607" s="1">
        <v>30260</v>
      </c>
      <c r="B607">
        <v>13.91</v>
      </c>
      <c r="C607" s="11">
        <f t="shared" si="36"/>
        <v>0.1391</v>
      </c>
      <c r="D607">
        <f t="shared" si="37"/>
        <v>1982</v>
      </c>
      <c r="E607" t="str">
        <f t="shared" si="38"/>
        <v>Nov-1982</v>
      </c>
      <c r="F607" s="12">
        <f t="shared" si="39"/>
        <v>6.36</v>
      </c>
    </row>
    <row r="608" spans="1:6" x14ac:dyDescent="0.25">
      <c r="A608" s="1">
        <v>30267</v>
      </c>
      <c r="B608">
        <v>13.84</v>
      </c>
      <c r="C608" s="11">
        <f t="shared" si="36"/>
        <v>0.1384</v>
      </c>
      <c r="D608">
        <f t="shared" si="37"/>
        <v>1982</v>
      </c>
      <c r="E608" t="str">
        <f t="shared" si="38"/>
        <v>Nov-1982</v>
      </c>
      <c r="F608" s="12">
        <f t="shared" si="39"/>
        <v>6.36</v>
      </c>
    </row>
    <row r="609" spans="1:6" x14ac:dyDescent="0.25">
      <c r="A609" s="1">
        <v>30274</v>
      </c>
      <c r="B609">
        <v>13.78</v>
      </c>
      <c r="C609" s="11">
        <f t="shared" si="36"/>
        <v>0.13780000000000001</v>
      </c>
      <c r="D609">
        <f t="shared" si="37"/>
        <v>1982</v>
      </c>
      <c r="E609" t="str">
        <f t="shared" si="38"/>
        <v>Nov-1982</v>
      </c>
      <c r="F609" s="12">
        <f t="shared" si="39"/>
        <v>6.36</v>
      </c>
    </row>
    <row r="610" spans="1:6" x14ac:dyDescent="0.25">
      <c r="A610" s="1">
        <v>30281</v>
      </c>
      <c r="B610">
        <v>13.77</v>
      </c>
      <c r="C610" s="11">
        <f t="shared" si="36"/>
        <v>0.13769999999999999</v>
      </c>
      <c r="D610">
        <f t="shared" si="37"/>
        <v>1982</v>
      </c>
      <c r="E610" t="str">
        <f t="shared" si="38"/>
        <v>Nov-1982</v>
      </c>
      <c r="F610" s="12">
        <f t="shared" si="39"/>
        <v>6.36</v>
      </c>
    </row>
    <row r="611" spans="1:6" x14ac:dyDescent="0.25">
      <c r="A611" s="1">
        <v>30288</v>
      </c>
      <c r="B611">
        <v>13.66</v>
      </c>
      <c r="C611" s="11">
        <f t="shared" si="36"/>
        <v>0.1366</v>
      </c>
      <c r="D611">
        <f t="shared" si="37"/>
        <v>1982</v>
      </c>
      <c r="E611" t="str">
        <f t="shared" si="38"/>
        <v>Dec-1982</v>
      </c>
      <c r="F611" s="12">
        <f t="shared" si="39"/>
        <v>6.36</v>
      </c>
    </row>
    <row r="612" spans="1:6" x14ac:dyDescent="0.25">
      <c r="A612" s="1">
        <v>30295</v>
      </c>
      <c r="B612">
        <v>13.66</v>
      </c>
      <c r="C612" s="11">
        <f t="shared" si="36"/>
        <v>0.1366</v>
      </c>
      <c r="D612">
        <f t="shared" si="37"/>
        <v>1982</v>
      </c>
      <c r="E612" t="str">
        <f t="shared" si="38"/>
        <v>Dec-1982</v>
      </c>
      <c r="F612" s="12">
        <f t="shared" si="39"/>
        <v>6.36</v>
      </c>
    </row>
    <row r="613" spans="1:6" x14ac:dyDescent="0.25">
      <c r="A613" s="1">
        <v>30302</v>
      </c>
      <c r="B613">
        <v>13.63</v>
      </c>
      <c r="C613" s="11">
        <f t="shared" si="36"/>
        <v>0.1363</v>
      </c>
      <c r="D613">
        <f t="shared" si="37"/>
        <v>1982</v>
      </c>
      <c r="E613" t="str">
        <f t="shared" si="38"/>
        <v>Dec-1982</v>
      </c>
      <c r="F613" s="12">
        <f t="shared" si="39"/>
        <v>6.36</v>
      </c>
    </row>
    <row r="614" spans="1:6" x14ac:dyDescent="0.25">
      <c r="A614" s="1">
        <v>30309</v>
      </c>
      <c r="B614">
        <v>13.6</v>
      </c>
      <c r="C614" s="11">
        <f t="shared" si="36"/>
        <v>0.13600000000000001</v>
      </c>
      <c r="D614">
        <f t="shared" si="37"/>
        <v>1982</v>
      </c>
      <c r="E614" t="str">
        <f t="shared" si="38"/>
        <v>Dec-1982</v>
      </c>
      <c r="F614" s="12">
        <f t="shared" si="39"/>
        <v>6.36</v>
      </c>
    </row>
    <row r="615" spans="1:6" x14ac:dyDescent="0.25">
      <c r="A615" s="1">
        <v>30316</v>
      </c>
      <c r="B615">
        <v>13.57</v>
      </c>
      <c r="C615" s="11">
        <f t="shared" si="36"/>
        <v>0.13570000000000002</v>
      </c>
      <c r="D615">
        <f t="shared" si="37"/>
        <v>1982</v>
      </c>
      <c r="E615" t="str">
        <f t="shared" si="38"/>
        <v>Dec-1982</v>
      </c>
      <c r="F615" s="12">
        <f t="shared" si="39"/>
        <v>6.36</v>
      </c>
    </row>
    <row r="616" spans="1:6" x14ac:dyDescent="0.25">
      <c r="A616" s="1">
        <v>30323</v>
      </c>
      <c r="B616">
        <v>13.46</v>
      </c>
      <c r="C616" s="11">
        <f t="shared" si="36"/>
        <v>0.1346</v>
      </c>
      <c r="D616">
        <f t="shared" si="37"/>
        <v>1983</v>
      </c>
      <c r="E616" t="str">
        <f t="shared" si="38"/>
        <v>Jan-1983</v>
      </c>
      <c r="F616" s="12">
        <f t="shared" si="39"/>
        <v>6.36</v>
      </c>
    </row>
    <row r="617" spans="1:6" x14ac:dyDescent="0.25">
      <c r="A617" s="1">
        <v>30330</v>
      </c>
      <c r="B617">
        <v>13.31</v>
      </c>
      <c r="C617" s="11">
        <f t="shared" si="36"/>
        <v>0.1331</v>
      </c>
      <c r="D617">
        <f t="shared" si="37"/>
        <v>1983</v>
      </c>
      <c r="E617" t="str">
        <f t="shared" si="38"/>
        <v>Jan-1983</v>
      </c>
      <c r="F617" s="12">
        <f t="shared" si="39"/>
        <v>6.36</v>
      </c>
    </row>
    <row r="618" spans="1:6" x14ac:dyDescent="0.25">
      <c r="A618" s="1">
        <v>30337</v>
      </c>
      <c r="B618">
        <v>13.12</v>
      </c>
      <c r="C618" s="11">
        <f t="shared" si="36"/>
        <v>0.13119999999999998</v>
      </c>
      <c r="D618">
        <f t="shared" si="37"/>
        <v>1983</v>
      </c>
      <c r="E618" t="str">
        <f t="shared" si="38"/>
        <v>Jan-1983</v>
      </c>
      <c r="F618" s="12">
        <f t="shared" si="39"/>
        <v>6.36</v>
      </c>
    </row>
    <row r="619" spans="1:6" x14ac:dyDescent="0.25">
      <c r="A619" s="1">
        <v>30344</v>
      </c>
      <c r="B619">
        <v>13.1</v>
      </c>
      <c r="C619" s="11">
        <f t="shared" si="36"/>
        <v>0.13100000000000001</v>
      </c>
      <c r="D619">
        <f t="shared" si="37"/>
        <v>1983</v>
      </c>
      <c r="E619" t="str">
        <f t="shared" si="38"/>
        <v>Jan-1983</v>
      </c>
      <c r="F619" s="12">
        <f t="shared" si="39"/>
        <v>6.36</v>
      </c>
    </row>
    <row r="620" spans="1:6" x14ac:dyDescent="0.25">
      <c r="A620" s="1">
        <v>30351</v>
      </c>
      <c r="B620">
        <v>13.06</v>
      </c>
      <c r="C620" s="11">
        <f t="shared" si="36"/>
        <v>0.13059999999999999</v>
      </c>
      <c r="D620">
        <f t="shared" si="37"/>
        <v>1983</v>
      </c>
      <c r="E620" t="str">
        <f t="shared" si="38"/>
        <v>Feb-1983</v>
      </c>
      <c r="F620" s="12">
        <f t="shared" si="39"/>
        <v>6.36</v>
      </c>
    </row>
    <row r="621" spans="1:6" x14ac:dyDescent="0.25">
      <c r="A621" s="1">
        <v>30358</v>
      </c>
      <c r="B621">
        <v>13.06</v>
      </c>
      <c r="C621" s="11">
        <f t="shared" si="36"/>
        <v>0.13059999999999999</v>
      </c>
      <c r="D621">
        <f t="shared" si="37"/>
        <v>1983</v>
      </c>
      <c r="E621" t="str">
        <f t="shared" si="38"/>
        <v>Feb-1983</v>
      </c>
      <c r="F621" s="12">
        <f t="shared" si="39"/>
        <v>6.36</v>
      </c>
    </row>
    <row r="622" spans="1:6" x14ac:dyDescent="0.25">
      <c r="A622" s="1">
        <v>30365</v>
      </c>
      <c r="B622">
        <v>13.07</v>
      </c>
      <c r="C622" s="11">
        <f t="shared" si="36"/>
        <v>0.13070000000000001</v>
      </c>
      <c r="D622">
        <f t="shared" si="37"/>
        <v>1983</v>
      </c>
      <c r="E622" t="str">
        <f t="shared" si="38"/>
        <v>Feb-1983</v>
      </c>
      <c r="F622" s="12">
        <f t="shared" si="39"/>
        <v>6.36</v>
      </c>
    </row>
    <row r="623" spans="1:6" x14ac:dyDescent="0.25">
      <c r="A623" s="1">
        <v>30372</v>
      </c>
      <c r="B623">
        <v>12.98</v>
      </c>
      <c r="C623" s="11">
        <f t="shared" si="36"/>
        <v>0.1298</v>
      </c>
      <c r="D623">
        <f t="shared" si="37"/>
        <v>1983</v>
      </c>
      <c r="E623" t="str">
        <f t="shared" si="38"/>
        <v>Feb-1983</v>
      </c>
      <c r="F623" s="12">
        <f t="shared" si="39"/>
        <v>6.36</v>
      </c>
    </row>
    <row r="624" spans="1:6" x14ac:dyDescent="0.25">
      <c r="A624" s="1">
        <v>30379</v>
      </c>
      <c r="B624">
        <v>12.74</v>
      </c>
      <c r="C624" s="11">
        <f t="shared" si="36"/>
        <v>0.12740000000000001</v>
      </c>
      <c r="D624">
        <f t="shared" si="37"/>
        <v>1983</v>
      </c>
      <c r="E624" t="str">
        <f t="shared" si="38"/>
        <v>Mar-1983</v>
      </c>
      <c r="F624" s="12">
        <f t="shared" si="39"/>
        <v>6.36</v>
      </c>
    </row>
    <row r="625" spans="1:6" x14ac:dyDescent="0.25">
      <c r="A625" s="1">
        <v>30386</v>
      </c>
      <c r="B625">
        <v>12.79</v>
      </c>
      <c r="C625" s="11">
        <f t="shared" si="36"/>
        <v>0.12789999999999999</v>
      </c>
      <c r="D625">
        <f t="shared" si="37"/>
        <v>1983</v>
      </c>
      <c r="E625" t="str">
        <f t="shared" si="38"/>
        <v>Mar-1983</v>
      </c>
      <c r="F625" s="12">
        <f t="shared" si="39"/>
        <v>6.36</v>
      </c>
    </row>
    <row r="626" spans="1:6" x14ac:dyDescent="0.25">
      <c r="A626" s="1">
        <v>30393</v>
      </c>
      <c r="B626">
        <v>12.81</v>
      </c>
      <c r="C626" s="11">
        <f t="shared" si="36"/>
        <v>0.12809999999999999</v>
      </c>
      <c r="D626">
        <f t="shared" si="37"/>
        <v>1983</v>
      </c>
      <c r="E626" t="str">
        <f t="shared" si="38"/>
        <v>Mar-1983</v>
      </c>
      <c r="F626" s="12">
        <f t="shared" si="39"/>
        <v>6.36</v>
      </c>
    </row>
    <row r="627" spans="1:6" x14ac:dyDescent="0.25">
      <c r="A627" s="1">
        <v>30400</v>
      </c>
      <c r="B627">
        <v>12.86</v>
      </c>
      <c r="C627" s="11">
        <f t="shared" si="36"/>
        <v>0.12859999999999999</v>
      </c>
      <c r="D627">
        <f t="shared" si="37"/>
        <v>1983</v>
      </c>
      <c r="E627" t="str">
        <f t="shared" si="38"/>
        <v>Mar-1983</v>
      </c>
      <c r="F627" s="12">
        <f t="shared" si="39"/>
        <v>6.36</v>
      </c>
    </row>
    <row r="628" spans="1:6" x14ac:dyDescent="0.25">
      <c r="A628" s="1">
        <v>30407</v>
      </c>
      <c r="B628">
        <v>12.82</v>
      </c>
      <c r="C628" s="11">
        <f t="shared" si="36"/>
        <v>0.12820000000000001</v>
      </c>
      <c r="D628">
        <f t="shared" si="37"/>
        <v>1983</v>
      </c>
      <c r="E628" t="str">
        <f t="shared" si="38"/>
        <v>Apr-1983</v>
      </c>
      <c r="F628" s="12">
        <f t="shared" si="39"/>
        <v>6.36</v>
      </c>
    </row>
    <row r="629" spans="1:6" x14ac:dyDescent="0.25">
      <c r="A629" s="1">
        <v>30414</v>
      </c>
      <c r="B629">
        <v>12.82</v>
      </c>
      <c r="C629" s="11">
        <f t="shared" si="36"/>
        <v>0.12820000000000001</v>
      </c>
      <c r="D629">
        <f t="shared" si="37"/>
        <v>1983</v>
      </c>
      <c r="E629" t="str">
        <f t="shared" si="38"/>
        <v>Apr-1983</v>
      </c>
      <c r="F629" s="12">
        <f t="shared" si="39"/>
        <v>6.36</v>
      </c>
    </row>
    <row r="630" spans="1:6" x14ac:dyDescent="0.25">
      <c r="A630" s="1">
        <v>30421</v>
      </c>
      <c r="B630">
        <v>12.79</v>
      </c>
      <c r="C630" s="11">
        <f t="shared" si="36"/>
        <v>0.12789999999999999</v>
      </c>
      <c r="D630">
        <f t="shared" si="37"/>
        <v>1983</v>
      </c>
      <c r="E630" t="str">
        <f t="shared" si="38"/>
        <v>Apr-1983</v>
      </c>
      <c r="F630" s="12">
        <f t="shared" si="39"/>
        <v>6.36</v>
      </c>
    </row>
    <row r="631" spans="1:6" x14ac:dyDescent="0.25">
      <c r="A631" s="1">
        <v>30428</v>
      </c>
      <c r="B631">
        <v>12.75</v>
      </c>
      <c r="C631" s="11">
        <f t="shared" si="36"/>
        <v>0.1275</v>
      </c>
      <c r="D631">
        <f t="shared" si="37"/>
        <v>1983</v>
      </c>
      <c r="E631" t="str">
        <f t="shared" si="38"/>
        <v>Apr-1983</v>
      </c>
      <c r="F631" s="12">
        <f t="shared" si="39"/>
        <v>6.36</v>
      </c>
    </row>
    <row r="632" spans="1:6" x14ac:dyDescent="0.25">
      <c r="A632" s="1">
        <v>30435</v>
      </c>
      <c r="B632">
        <v>12.73</v>
      </c>
      <c r="C632" s="11">
        <f t="shared" si="36"/>
        <v>0.1273</v>
      </c>
      <c r="D632">
        <f t="shared" si="37"/>
        <v>1983</v>
      </c>
      <c r="E632" t="str">
        <f t="shared" si="38"/>
        <v>Apr-1983</v>
      </c>
      <c r="F632" s="12">
        <f t="shared" si="39"/>
        <v>6.36</v>
      </c>
    </row>
    <row r="633" spans="1:6" x14ac:dyDescent="0.25">
      <c r="A633" s="1">
        <v>30442</v>
      </c>
      <c r="B633">
        <v>12.71</v>
      </c>
      <c r="C633" s="11">
        <f t="shared" si="36"/>
        <v>0.12710000000000002</v>
      </c>
      <c r="D633">
        <f t="shared" si="37"/>
        <v>1983</v>
      </c>
      <c r="E633" t="str">
        <f t="shared" si="38"/>
        <v>May-1983</v>
      </c>
      <c r="F633" s="12">
        <f t="shared" si="39"/>
        <v>6.36</v>
      </c>
    </row>
    <row r="634" spans="1:6" x14ac:dyDescent="0.25">
      <c r="A634" s="1">
        <v>30449</v>
      </c>
      <c r="B634">
        <v>12.59</v>
      </c>
      <c r="C634" s="11">
        <f t="shared" si="36"/>
        <v>0.12590000000000001</v>
      </c>
      <c r="D634">
        <f t="shared" si="37"/>
        <v>1983</v>
      </c>
      <c r="E634" t="str">
        <f t="shared" si="38"/>
        <v>May-1983</v>
      </c>
      <c r="F634" s="12">
        <f t="shared" si="39"/>
        <v>6.36</v>
      </c>
    </row>
    <row r="635" spans="1:6" x14ac:dyDescent="0.25">
      <c r="A635" s="1">
        <v>30456</v>
      </c>
      <c r="B635">
        <v>12.55</v>
      </c>
      <c r="C635" s="11">
        <f t="shared" si="36"/>
        <v>0.1255</v>
      </c>
      <c r="D635">
        <f t="shared" si="37"/>
        <v>1983</v>
      </c>
      <c r="E635" t="str">
        <f t="shared" si="38"/>
        <v>May-1983</v>
      </c>
      <c r="F635" s="12">
        <f t="shared" si="39"/>
        <v>6.36</v>
      </c>
    </row>
    <row r="636" spans="1:6" x14ac:dyDescent="0.25">
      <c r="A636" s="1">
        <v>30463</v>
      </c>
      <c r="B636">
        <v>12.68</v>
      </c>
      <c r="C636" s="11">
        <f t="shared" si="36"/>
        <v>0.1268</v>
      </c>
      <c r="D636">
        <f t="shared" si="37"/>
        <v>1983</v>
      </c>
      <c r="E636" t="str">
        <f t="shared" si="38"/>
        <v>May-1983</v>
      </c>
      <c r="F636" s="12">
        <f t="shared" si="39"/>
        <v>6.36</v>
      </c>
    </row>
    <row r="637" spans="1:6" x14ac:dyDescent="0.25">
      <c r="A637" s="1">
        <v>30470</v>
      </c>
      <c r="B637">
        <v>12.74</v>
      </c>
      <c r="C637" s="11">
        <f t="shared" si="36"/>
        <v>0.12740000000000001</v>
      </c>
      <c r="D637">
        <f t="shared" si="37"/>
        <v>1983</v>
      </c>
      <c r="E637" t="str">
        <f t="shared" si="38"/>
        <v>Jun-1983</v>
      </c>
      <c r="F637" s="12">
        <f t="shared" si="39"/>
        <v>6.36</v>
      </c>
    </row>
    <row r="638" spans="1:6" x14ac:dyDescent="0.25">
      <c r="A638" s="1">
        <v>30477</v>
      </c>
      <c r="B638">
        <v>12.82</v>
      </c>
      <c r="C638" s="11">
        <f t="shared" si="36"/>
        <v>0.12820000000000001</v>
      </c>
      <c r="D638">
        <f t="shared" si="37"/>
        <v>1983</v>
      </c>
      <c r="E638" t="str">
        <f t="shared" si="38"/>
        <v>Jun-1983</v>
      </c>
      <c r="F638" s="12">
        <f t="shared" si="39"/>
        <v>6.36</v>
      </c>
    </row>
    <row r="639" spans="1:6" x14ac:dyDescent="0.25">
      <c r="A639" s="1">
        <v>30484</v>
      </c>
      <c r="B639">
        <v>12.96</v>
      </c>
      <c r="C639" s="11">
        <f t="shared" si="36"/>
        <v>0.12960000000000002</v>
      </c>
      <c r="D639">
        <f t="shared" si="37"/>
        <v>1983</v>
      </c>
      <c r="E639" t="str">
        <f t="shared" si="38"/>
        <v>Jun-1983</v>
      </c>
      <c r="F639" s="12">
        <f t="shared" si="39"/>
        <v>6.36</v>
      </c>
    </row>
    <row r="640" spans="1:6" x14ac:dyDescent="0.25">
      <c r="A640" s="1">
        <v>30491</v>
      </c>
      <c r="B640">
        <v>12.96</v>
      </c>
      <c r="C640" s="11">
        <f t="shared" si="36"/>
        <v>0.12960000000000002</v>
      </c>
      <c r="D640">
        <f t="shared" si="37"/>
        <v>1983</v>
      </c>
      <c r="E640" t="str">
        <f t="shared" si="38"/>
        <v>Jun-1983</v>
      </c>
      <c r="F640" s="12">
        <f t="shared" si="39"/>
        <v>6.36</v>
      </c>
    </row>
    <row r="641" spans="1:6" x14ac:dyDescent="0.25">
      <c r="A641" s="1">
        <v>30498</v>
      </c>
      <c r="B641">
        <v>13.08</v>
      </c>
      <c r="C641" s="11">
        <f t="shared" si="36"/>
        <v>0.1308</v>
      </c>
      <c r="D641">
        <f t="shared" si="37"/>
        <v>1983</v>
      </c>
      <c r="E641" t="str">
        <f t="shared" si="38"/>
        <v>Jul-1983</v>
      </c>
      <c r="F641" s="12">
        <f t="shared" si="39"/>
        <v>6.36</v>
      </c>
    </row>
    <row r="642" spans="1:6" x14ac:dyDescent="0.25">
      <c r="A642" s="1">
        <v>30505</v>
      </c>
      <c r="B642">
        <v>13.3</v>
      </c>
      <c r="C642" s="11">
        <f t="shared" ref="C642:C705" si="40">B642/100</f>
        <v>0.13300000000000001</v>
      </c>
      <c r="D642">
        <f t="shared" ref="D642:D705" si="41">YEAR(A642)</f>
        <v>1983</v>
      </c>
      <c r="E642" t="str">
        <f t="shared" ref="E642:E705" si="42">TEXT(A642,"MMM-YYYY")</f>
        <v>Jul-1983</v>
      </c>
      <c r="F642" s="12">
        <f t="shared" ref="F642:F705" si="43">$H$2</f>
        <v>6.36</v>
      </c>
    </row>
    <row r="643" spans="1:6" x14ac:dyDescent="0.25">
      <c r="A643" s="1">
        <v>30512</v>
      </c>
      <c r="B643">
        <v>13.5</v>
      </c>
      <c r="C643" s="11">
        <f t="shared" si="40"/>
        <v>0.13500000000000001</v>
      </c>
      <c r="D643">
        <f t="shared" si="41"/>
        <v>1983</v>
      </c>
      <c r="E643" t="str">
        <f t="shared" si="42"/>
        <v>Jul-1983</v>
      </c>
      <c r="F643" s="12">
        <f t="shared" si="43"/>
        <v>6.36</v>
      </c>
    </row>
    <row r="644" spans="1:6" x14ac:dyDescent="0.25">
      <c r="A644" s="1">
        <v>30519</v>
      </c>
      <c r="B644">
        <v>13.58</v>
      </c>
      <c r="C644" s="11">
        <f t="shared" si="40"/>
        <v>0.1358</v>
      </c>
      <c r="D644">
        <f t="shared" si="41"/>
        <v>1983</v>
      </c>
      <c r="E644" t="str">
        <f t="shared" si="42"/>
        <v>Jul-1983</v>
      </c>
      <c r="F644" s="12">
        <f t="shared" si="43"/>
        <v>6.36</v>
      </c>
    </row>
    <row r="645" spans="1:6" x14ac:dyDescent="0.25">
      <c r="A645" s="1">
        <v>30526</v>
      </c>
      <c r="B645">
        <v>13.65</v>
      </c>
      <c r="C645" s="11">
        <f t="shared" si="40"/>
        <v>0.13650000000000001</v>
      </c>
      <c r="D645">
        <f t="shared" si="41"/>
        <v>1983</v>
      </c>
      <c r="E645" t="str">
        <f t="shared" si="42"/>
        <v>Jul-1983</v>
      </c>
      <c r="F645" s="12">
        <f t="shared" si="43"/>
        <v>6.36</v>
      </c>
    </row>
    <row r="646" spans="1:6" x14ac:dyDescent="0.25">
      <c r="A646" s="1">
        <v>30533</v>
      </c>
      <c r="B646">
        <v>13.73</v>
      </c>
      <c r="C646" s="11">
        <f t="shared" si="40"/>
        <v>0.13730000000000001</v>
      </c>
      <c r="D646">
        <f t="shared" si="41"/>
        <v>1983</v>
      </c>
      <c r="E646" t="str">
        <f t="shared" si="42"/>
        <v>Aug-1983</v>
      </c>
      <c r="F646" s="12">
        <f t="shared" si="43"/>
        <v>6.36</v>
      </c>
    </row>
    <row r="647" spans="1:6" x14ac:dyDescent="0.25">
      <c r="A647" s="1">
        <v>30540</v>
      </c>
      <c r="B647">
        <v>13.84</v>
      </c>
      <c r="C647" s="11">
        <f t="shared" si="40"/>
        <v>0.1384</v>
      </c>
      <c r="D647">
        <f t="shared" si="41"/>
        <v>1983</v>
      </c>
      <c r="E647" t="str">
        <f t="shared" si="42"/>
        <v>Aug-1983</v>
      </c>
      <c r="F647" s="12">
        <f t="shared" si="43"/>
        <v>6.36</v>
      </c>
    </row>
    <row r="648" spans="1:6" x14ac:dyDescent="0.25">
      <c r="A648" s="1">
        <v>30547</v>
      </c>
      <c r="B648">
        <v>13.89</v>
      </c>
      <c r="C648" s="11">
        <f t="shared" si="40"/>
        <v>0.1389</v>
      </c>
      <c r="D648">
        <f t="shared" si="41"/>
        <v>1983</v>
      </c>
      <c r="E648" t="str">
        <f t="shared" si="42"/>
        <v>Aug-1983</v>
      </c>
      <c r="F648" s="12">
        <f t="shared" si="43"/>
        <v>6.36</v>
      </c>
    </row>
    <row r="649" spans="1:6" x14ac:dyDescent="0.25">
      <c r="A649" s="1">
        <v>30554</v>
      </c>
      <c r="B649">
        <v>13.78</v>
      </c>
      <c r="C649" s="11">
        <f t="shared" si="40"/>
        <v>0.13780000000000001</v>
      </c>
      <c r="D649">
        <f t="shared" si="41"/>
        <v>1983</v>
      </c>
      <c r="E649" t="str">
        <f t="shared" si="42"/>
        <v>Aug-1983</v>
      </c>
      <c r="F649" s="12">
        <f t="shared" si="43"/>
        <v>6.36</v>
      </c>
    </row>
    <row r="650" spans="1:6" x14ac:dyDescent="0.25">
      <c r="A650" s="1">
        <v>30561</v>
      </c>
      <c r="B650">
        <v>13.77</v>
      </c>
      <c r="C650" s="11">
        <f t="shared" si="40"/>
        <v>0.13769999999999999</v>
      </c>
      <c r="D650">
        <f t="shared" si="41"/>
        <v>1983</v>
      </c>
      <c r="E650" t="str">
        <f t="shared" si="42"/>
        <v>Sep-1983</v>
      </c>
      <c r="F650" s="12">
        <f t="shared" si="43"/>
        <v>6.36</v>
      </c>
    </row>
    <row r="651" spans="1:6" x14ac:dyDescent="0.25">
      <c r="A651" s="1">
        <v>30568</v>
      </c>
      <c r="B651">
        <v>13.77</v>
      </c>
      <c r="C651" s="11">
        <f t="shared" si="40"/>
        <v>0.13769999999999999</v>
      </c>
      <c r="D651">
        <f t="shared" si="41"/>
        <v>1983</v>
      </c>
      <c r="E651" t="str">
        <f t="shared" si="42"/>
        <v>Sep-1983</v>
      </c>
      <c r="F651" s="12">
        <f t="shared" si="43"/>
        <v>6.36</v>
      </c>
    </row>
    <row r="652" spans="1:6" x14ac:dyDescent="0.25">
      <c r="A652" s="1">
        <v>30575</v>
      </c>
      <c r="B652">
        <v>13.72</v>
      </c>
      <c r="C652" s="11">
        <f t="shared" si="40"/>
        <v>0.13720000000000002</v>
      </c>
      <c r="D652">
        <f t="shared" si="41"/>
        <v>1983</v>
      </c>
      <c r="E652" t="str">
        <f t="shared" si="42"/>
        <v>Sep-1983</v>
      </c>
      <c r="F652" s="12">
        <f t="shared" si="43"/>
        <v>6.36</v>
      </c>
    </row>
    <row r="653" spans="1:6" x14ac:dyDescent="0.25">
      <c r="A653" s="1">
        <v>30582</v>
      </c>
      <c r="B653">
        <v>13.72</v>
      </c>
      <c r="C653" s="11">
        <f t="shared" si="40"/>
        <v>0.13720000000000002</v>
      </c>
      <c r="D653">
        <f t="shared" si="41"/>
        <v>1983</v>
      </c>
      <c r="E653" t="str">
        <f t="shared" si="42"/>
        <v>Sep-1983</v>
      </c>
      <c r="F653" s="12">
        <f t="shared" si="43"/>
        <v>6.36</v>
      </c>
    </row>
    <row r="654" spans="1:6" x14ac:dyDescent="0.25">
      <c r="A654" s="1">
        <v>30589</v>
      </c>
      <c r="B654">
        <v>13.65</v>
      </c>
      <c r="C654" s="11">
        <f t="shared" si="40"/>
        <v>0.13650000000000001</v>
      </c>
      <c r="D654">
        <f t="shared" si="41"/>
        <v>1983</v>
      </c>
      <c r="E654" t="str">
        <f t="shared" si="42"/>
        <v>Sep-1983</v>
      </c>
      <c r="F654" s="12">
        <f t="shared" si="43"/>
        <v>6.36</v>
      </c>
    </row>
    <row r="655" spans="1:6" x14ac:dyDescent="0.25">
      <c r="A655" s="1">
        <v>30596</v>
      </c>
      <c r="B655">
        <v>13.59</v>
      </c>
      <c r="C655" s="11">
        <f t="shared" si="40"/>
        <v>0.13589999999999999</v>
      </c>
      <c r="D655">
        <f t="shared" si="41"/>
        <v>1983</v>
      </c>
      <c r="E655" t="str">
        <f t="shared" si="42"/>
        <v>Oct-1983</v>
      </c>
      <c r="F655" s="12">
        <f t="shared" si="43"/>
        <v>6.36</v>
      </c>
    </row>
    <row r="656" spans="1:6" x14ac:dyDescent="0.25">
      <c r="A656" s="1">
        <v>30603</v>
      </c>
      <c r="B656">
        <v>13.6</v>
      </c>
      <c r="C656" s="11">
        <f t="shared" si="40"/>
        <v>0.13600000000000001</v>
      </c>
      <c r="D656">
        <f t="shared" si="41"/>
        <v>1983</v>
      </c>
      <c r="E656" t="str">
        <f t="shared" si="42"/>
        <v>Oct-1983</v>
      </c>
      <c r="F656" s="12">
        <f t="shared" si="43"/>
        <v>6.36</v>
      </c>
    </row>
    <row r="657" spans="1:6" x14ac:dyDescent="0.25">
      <c r="A657" s="1">
        <v>30610</v>
      </c>
      <c r="B657">
        <v>13.52</v>
      </c>
      <c r="C657" s="11">
        <f t="shared" si="40"/>
        <v>0.13519999999999999</v>
      </c>
      <c r="D657">
        <f t="shared" si="41"/>
        <v>1983</v>
      </c>
      <c r="E657" t="str">
        <f t="shared" si="42"/>
        <v>Oct-1983</v>
      </c>
      <c r="F657" s="12">
        <f t="shared" si="43"/>
        <v>6.36</v>
      </c>
    </row>
    <row r="658" spans="1:6" x14ac:dyDescent="0.25">
      <c r="A658" s="1">
        <v>30617</v>
      </c>
      <c r="B658">
        <v>13.43</v>
      </c>
      <c r="C658" s="11">
        <f t="shared" si="40"/>
        <v>0.1343</v>
      </c>
      <c r="D658">
        <f t="shared" si="41"/>
        <v>1983</v>
      </c>
      <c r="E658" t="str">
        <f t="shared" si="42"/>
        <v>Oct-1983</v>
      </c>
      <c r="F658" s="12">
        <f t="shared" si="43"/>
        <v>6.36</v>
      </c>
    </row>
    <row r="659" spans="1:6" x14ac:dyDescent="0.25">
      <c r="A659" s="1">
        <v>30624</v>
      </c>
      <c r="B659">
        <v>13.42</v>
      </c>
      <c r="C659" s="11">
        <f t="shared" si="40"/>
        <v>0.13419999999999999</v>
      </c>
      <c r="D659">
        <f t="shared" si="41"/>
        <v>1983</v>
      </c>
      <c r="E659" t="str">
        <f t="shared" si="42"/>
        <v>Nov-1983</v>
      </c>
      <c r="F659" s="12">
        <f t="shared" si="43"/>
        <v>6.36</v>
      </c>
    </row>
    <row r="660" spans="1:6" x14ac:dyDescent="0.25">
      <c r="A660" s="1">
        <v>30631</v>
      </c>
      <c r="B660">
        <v>13.47</v>
      </c>
      <c r="C660" s="11">
        <f t="shared" si="40"/>
        <v>0.13470000000000001</v>
      </c>
      <c r="D660">
        <f t="shared" si="41"/>
        <v>1983</v>
      </c>
      <c r="E660" t="str">
        <f t="shared" si="42"/>
        <v>Nov-1983</v>
      </c>
      <c r="F660" s="12">
        <f t="shared" si="43"/>
        <v>6.36</v>
      </c>
    </row>
    <row r="661" spans="1:6" x14ac:dyDescent="0.25">
      <c r="A661" s="1">
        <v>30638</v>
      </c>
      <c r="B661">
        <v>13.42</v>
      </c>
      <c r="C661" s="11">
        <f t="shared" si="40"/>
        <v>0.13419999999999999</v>
      </c>
      <c r="D661">
        <f t="shared" si="41"/>
        <v>1983</v>
      </c>
      <c r="E661" t="str">
        <f t="shared" si="42"/>
        <v>Nov-1983</v>
      </c>
      <c r="F661" s="12">
        <f t="shared" si="43"/>
        <v>6.36</v>
      </c>
    </row>
    <row r="662" spans="1:6" x14ac:dyDescent="0.25">
      <c r="A662" s="1">
        <v>30645</v>
      </c>
      <c r="B662">
        <v>13.43</v>
      </c>
      <c r="C662" s="11">
        <f t="shared" si="40"/>
        <v>0.1343</v>
      </c>
      <c r="D662">
        <f t="shared" si="41"/>
        <v>1983</v>
      </c>
      <c r="E662" t="str">
        <f t="shared" si="42"/>
        <v>Nov-1983</v>
      </c>
      <c r="F662" s="12">
        <f t="shared" si="43"/>
        <v>6.36</v>
      </c>
    </row>
    <row r="663" spans="1:6" x14ac:dyDescent="0.25">
      <c r="A663" s="1">
        <v>30652</v>
      </c>
      <c r="B663">
        <v>13.41</v>
      </c>
      <c r="C663" s="11">
        <f t="shared" si="40"/>
        <v>0.1341</v>
      </c>
      <c r="D663">
        <f t="shared" si="41"/>
        <v>1983</v>
      </c>
      <c r="E663" t="str">
        <f t="shared" si="42"/>
        <v>Dec-1983</v>
      </c>
      <c r="F663" s="12">
        <f t="shared" si="43"/>
        <v>6.36</v>
      </c>
    </row>
    <row r="664" spans="1:6" x14ac:dyDescent="0.25">
      <c r="A664" s="1">
        <v>30659</v>
      </c>
      <c r="B664">
        <v>13.38</v>
      </c>
      <c r="C664" s="11">
        <f t="shared" si="40"/>
        <v>0.1338</v>
      </c>
      <c r="D664">
        <f t="shared" si="41"/>
        <v>1983</v>
      </c>
      <c r="E664" t="str">
        <f t="shared" si="42"/>
        <v>Dec-1983</v>
      </c>
      <c r="F664" s="12">
        <f t="shared" si="43"/>
        <v>6.36</v>
      </c>
    </row>
    <row r="665" spans="1:6" x14ac:dyDescent="0.25">
      <c r="A665" s="1">
        <v>30666</v>
      </c>
      <c r="B665">
        <v>13.42</v>
      </c>
      <c r="C665" s="11">
        <f t="shared" si="40"/>
        <v>0.13419999999999999</v>
      </c>
      <c r="D665">
        <f t="shared" si="41"/>
        <v>1983</v>
      </c>
      <c r="E665" t="str">
        <f t="shared" si="42"/>
        <v>Dec-1983</v>
      </c>
      <c r="F665" s="12">
        <f t="shared" si="43"/>
        <v>6.36</v>
      </c>
    </row>
    <row r="666" spans="1:6" x14ac:dyDescent="0.25">
      <c r="A666" s="1">
        <v>30673</v>
      </c>
      <c r="B666">
        <v>13.46</v>
      </c>
      <c r="C666" s="11">
        <f t="shared" si="40"/>
        <v>0.1346</v>
      </c>
      <c r="D666">
        <f t="shared" si="41"/>
        <v>1983</v>
      </c>
      <c r="E666" t="str">
        <f t="shared" si="42"/>
        <v>Dec-1983</v>
      </c>
      <c r="F666" s="12">
        <f t="shared" si="43"/>
        <v>6.36</v>
      </c>
    </row>
    <row r="667" spans="1:6" x14ac:dyDescent="0.25">
      <c r="A667" s="1">
        <v>30680</v>
      </c>
      <c r="B667">
        <v>13.43</v>
      </c>
      <c r="C667" s="11">
        <f t="shared" si="40"/>
        <v>0.1343</v>
      </c>
      <c r="D667">
        <f t="shared" si="41"/>
        <v>1983</v>
      </c>
      <c r="E667" t="str">
        <f t="shared" si="42"/>
        <v>Dec-1983</v>
      </c>
      <c r="F667" s="12">
        <f t="shared" si="43"/>
        <v>6.36</v>
      </c>
    </row>
    <row r="668" spans="1:6" x14ac:dyDescent="0.25">
      <c r="A668" s="1">
        <v>30687</v>
      </c>
      <c r="B668">
        <v>13.43</v>
      </c>
      <c r="C668" s="11">
        <f t="shared" si="40"/>
        <v>0.1343</v>
      </c>
      <c r="D668">
        <f t="shared" si="41"/>
        <v>1984</v>
      </c>
      <c r="E668" t="str">
        <f t="shared" si="42"/>
        <v>Jan-1984</v>
      </c>
      <c r="F668" s="12">
        <f t="shared" si="43"/>
        <v>6.36</v>
      </c>
    </row>
    <row r="669" spans="1:6" x14ac:dyDescent="0.25">
      <c r="A669" s="1">
        <v>30694</v>
      </c>
      <c r="B669">
        <v>13.4</v>
      </c>
      <c r="C669" s="11">
        <f t="shared" si="40"/>
        <v>0.13400000000000001</v>
      </c>
      <c r="D669">
        <f t="shared" si="41"/>
        <v>1984</v>
      </c>
      <c r="E669" t="str">
        <f t="shared" si="42"/>
        <v>Jan-1984</v>
      </c>
      <c r="F669" s="12">
        <f t="shared" si="43"/>
        <v>6.36</v>
      </c>
    </row>
    <row r="670" spans="1:6" x14ac:dyDescent="0.25">
      <c r="A670" s="1">
        <v>30701</v>
      </c>
      <c r="B670">
        <v>13.35</v>
      </c>
      <c r="C670" s="11">
        <f t="shared" si="40"/>
        <v>0.13350000000000001</v>
      </c>
      <c r="D670">
        <f t="shared" si="41"/>
        <v>1984</v>
      </c>
      <c r="E670" t="str">
        <f t="shared" si="42"/>
        <v>Jan-1984</v>
      </c>
      <c r="F670" s="12">
        <f t="shared" si="43"/>
        <v>6.36</v>
      </c>
    </row>
    <row r="671" spans="1:6" x14ac:dyDescent="0.25">
      <c r="A671" s="1">
        <v>30708</v>
      </c>
      <c r="B671">
        <v>13.29</v>
      </c>
      <c r="C671" s="11">
        <f t="shared" si="40"/>
        <v>0.13289999999999999</v>
      </c>
      <c r="D671">
        <f t="shared" si="41"/>
        <v>1984</v>
      </c>
      <c r="E671" t="str">
        <f t="shared" si="42"/>
        <v>Jan-1984</v>
      </c>
      <c r="F671" s="12">
        <f t="shared" si="43"/>
        <v>6.36</v>
      </c>
    </row>
    <row r="672" spans="1:6" x14ac:dyDescent="0.25">
      <c r="A672" s="1">
        <v>30715</v>
      </c>
      <c r="B672">
        <v>13.26</v>
      </c>
      <c r="C672" s="11">
        <f t="shared" si="40"/>
        <v>0.1326</v>
      </c>
      <c r="D672">
        <f t="shared" si="41"/>
        <v>1984</v>
      </c>
      <c r="E672" t="str">
        <f t="shared" si="42"/>
        <v>Feb-1984</v>
      </c>
      <c r="F672" s="12">
        <f t="shared" si="43"/>
        <v>6.36</v>
      </c>
    </row>
    <row r="673" spans="1:6" x14ac:dyDescent="0.25">
      <c r="A673" s="1">
        <v>30722</v>
      </c>
      <c r="B673">
        <v>13.23</v>
      </c>
      <c r="C673" s="11">
        <f t="shared" si="40"/>
        <v>0.1323</v>
      </c>
      <c r="D673">
        <f t="shared" si="41"/>
        <v>1984</v>
      </c>
      <c r="E673" t="str">
        <f t="shared" si="42"/>
        <v>Feb-1984</v>
      </c>
      <c r="F673" s="12">
        <f t="shared" si="43"/>
        <v>6.36</v>
      </c>
    </row>
    <row r="674" spans="1:6" x14ac:dyDescent="0.25">
      <c r="A674" s="1">
        <v>30729</v>
      </c>
      <c r="B674">
        <v>13.19</v>
      </c>
      <c r="C674" s="11">
        <f t="shared" si="40"/>
        <v>0.13189999999999999</v>
      </c>
      <c r="D674">
        <f t="shared" si="41"/>
        <v>1984</v>
      </c>
      <c r="E674" t="str">
        <f t="shared" si="42"/>
        <v>Feb-1984</v>
      </c>
      <c r="F674" s="12">
        <f t="shared" si="43"/>
        <v>6.36</v>
      </c>
    </row>
    <row r="675" spans="1:6" x14ac:dyDescent="0.25">
      <c r="A675" s="1">
        <v>30736</v>
      </c>
      <c r="B675">
        <v>13.25</v>
      </c>
      <c r="C675" s="11">
        <f t="shared" si="40"/>
        <v>0.13250000000000001</v>
      </c>
      <c r="D675">
        <f t="shared" si="41"/>
        <v>1984</v>
      </c>
      <c r="E675" t="str">
        <f t="shared" si="42"/>
        <v>Feb-1984</v>
      </c>
      <c r="F675" s="12">
        <f t="shared" si="43"/>
        <v>6.36</v>
      </c>
    </row>
    <row r="676" spans="1:6" x14ac:dyDescent="0.25">
      <c r="A676" s="1">
        <v>30743</v>
      </c>
      <c r="B676">
        <v>13.23</v>
      </c>
      <c r="C676" s="11">
        <f t="shared" si="40"/>
        <v>0.1323</v>
      </c>
      <c r="D676">
        <f t="shared" si="41"/>
        <v>1984</v>
      </c>
      <c r="E676" t="str">
        <f t="shared" si="42"/>
        <v>Mar-1984</v>
      </c>
      <c r="F676" s="12">
        <f t="shared" si="43"/>
        <v>6.36</v>
      </c>
    </row>
    <row r="677" spans="1:6" x14ac:dyDescent="0.25">
      <c r="A677" s="1">
        <v>30750</v>
      </c>
      <c r="B677">
        <v>13.3</v>
      </c>
      <c r="C677" s="11">
        <f t="shared" si="40"/>
        <v>0.13300000000000001</v>
      </c>
      <c r="D677">
        <f t="shared" si="41"/>
        <v>1984</v>
      </c>
      <c r="E677" t="str">
        <f t="shared" si="42"/>
        <v>Mar-1984</v>
      </c>
      <c r="F677" s="12">
        <f t="shared" si="43"/>
        <v>6.36</v>
      </c>
    </row>
    <row r="678" spans="1:6" x14ac:dyDescent="0.25">
      <c r="A678" s="1">
        <v>30757</v>
      </c>
      <c r="B678">
        <v>13.37</v>
      </c>
      <c r="C678" s="11">
        <f t="shared" si="40"/>
        <v>0.13369999999999999</v>
      </c>
      <c r="D678">
        <f t="shared" si="41"/>
        <v>1984</v>
      </c>
      <c r="E678" t="str">
        <f t="shared" si="42"/>
        <v>Mar-1984</v>
      </c>
      <c r="F678" s="12">
        <f t="shared" si="43"/>
        <v>6.36</v>
      </c>
    </row>
    <row r="679" spans="1:6" x14ac:dyDescent="0.25">
      <c r="A679" s="1">
        <v>30764</v>
      </c>
      <c r="B679">
        <v>13.48</v>
      </c>
      <c r="C679" s="11">
        <f t="shared" si="40"/>
        <v>0.1348</v>
      </c>
      <c r="D679">
        <f t="shared" si="41"/>
        <v>1984</v>
      </c>
      <c r="E679" t="str">
        <f t="shared" si="42"/>
        <v>Mar-1984</v>
      </c>
      <c r="F679" s="12">
        <f t="shared" si="43"/>
        <v>6.36</v>
      </c>
    </row>
    <row r="680" spans="1:6" x14ac:dyDescent="0.25">
      <c r="A680" s="1">
        <v>30771</v>
      </c>
      <c r="B680">
        <v>13.55</v>
      </c>
      <c r="C680" s="11">
        <f t="shared" si="40"/>
        <v>0.13550000000000001</v>
      </c>
      <c r="D680">
        <f t="shared" si="41"/>
        <v>1984</v>
      </c>
      <c r="E680" t="str">
        <f t="shared" si="42"/>
        <v>Mar-1984</v>
      </c>
      <c r="F680" s="12">
        <f t="shared" si="43"/>
        <v>6.36</v>
      </c>
    </row>
    <row r="681" spans="1:6" x14ac:dyDescent="0.25">
      <c r="A681" s="1">
        <v>30778</v>
      </c>
      <c r="B681">
        <v>13.63</v>
      </c>
      <c r="C681" s="11">
        <f t="shared" si="40"/>
        <v>0.1363</v>
      </c>
      <c r="D681">
        <f t="shared" si="41"/>
        <v>1984</v>
      </c>
      <c r="E681" t="str">
        <f t="shared" si="42"/>
        <v>Apr-1984</v>
      </c>
      <c r="F681" s="12">
        <f t="shared" si="43"/>
        <v>6.36</v>
      </c>
    </row>
    <row r="682" spans="1:6" x14ac:dyDescent="0.25">
      <c r="A682" s="1">
        <v>30785</v>
      </c>
      <c r="B682">
        <v>13.58</v>
      </c>
      <c r="C682" s="11">
        <f t="shared" si="40"/>
        <v>0.1358</v>
      </c>
      <c r="D682">
        <f t="shared" si="41"/>
        <v>1984</v>
      </c>
      <c r="E682" t="str">
        <f t="shared" si="42"/>
        <v>Apr-1984</v>
      </c>
      <c r="F682" s="12">
        <f t="shared" si="43"/>
        <v>6.36</v>
      </c>
    </row>
    <row r="683" spans="1:6" x14ac:dyDescent="0.25">
      <c r="A683" s="1">
        <v>30792</v>
      </c>
      <c r="B683">
        <v>13.67</v>
      </c>
      <c r="C683" s="11">
        <f t="shared" si="40"/>
        <v>0.13669999999999999</v>
      </c>
      <c r="D683">
        <f t="shared" si="41"/>
        <v>1984</v>
      </c>
      <c r="E683" t="str">
        <f t="shared" si="42"/>
        <v>Apr-1984</v>
      </c>
      <c r="F683" s="12">
        <f t="shared" si="43"/>
        <v>6.36</v>
      </c>
    </row>
    <row r="684" spans="1:6" x14ac:dyDescent="0.25">
      <c r="A684" s="1">
        <v>30799</v>
      </c>
      <c r="B684">
        <v>13.73</v>
      </c>
      <c r="C684" s="11">
        <f t="shared" si="40"/>
        <v>0.13730000000000001</v>
      </c>
      <c r="D684">
        <f t="shared" si="41"/>
        <v>1984</v>
      </c>
      <c r="E684" t="str">
        <f t="shared" si="42"/>
        <v>Apr-1984</v>
      </c>
      <c r="F684" s="12">
        <f t="shared" si="43"/>
        <v>6.36</v>
      </c>
    </row>
    <row r="685" spans="1:6" x14ac:dyDescent="0.25">
      <c r="A685" s="1">
        <v>30806</v>
      </c>
      <c r="B685">
        <v>13.78</v>
      </c>
      <c r="C685" s="11">
        <f t="shared" si="40"/>
        <v>0.13780000000000001</v>
      </c>
      <c r="D685">
        <f t="shared" si="41"/>
        <v>1984</v>
      </c>
      <c r="E685" t="str">
        <f t="shared" si="42"/>
        <v>May-1984</v>
      </c>
      <c r="F685" s="12">
        <f t="shared" si="43"/>
        <v>6.36</v>
      </c>
    </row>
    <row r="686" spans="1:6" x14ac:dyDescent="0.25">
      <c r="A686" s="1">
        <v>30813</v>
      </c>
      <c r="B686">
        <v>13.87</v>
      </c>
      <c r="C686" s="11">
        <f t="shared" si="40"/>
        <v>0.13869999999999999</v>
      </c>
      <c r="D686">
        <f t="shared" si="41"/>
        <v>1984</v>
      </c>
      <c r="E686" t="str">
        <f t="shared" si="42"/>
        <v>May-1984</v>
      </c>
      <c r="F686" s="12">
        <f t="shared" si="43"/>
        <v>6.36</v>
      </c>
    </row>
    <row r="687" spans="1:6" x14ac:dyDescent="0.25">
      <c r="A687" s="1">
        <v>30820</v>
      </c>
      <c r="B687">
        <v>14.04</v>
      </c>
      <c r="C687" s="11">
        <f t="shared" si="40"/>
        <v>0.1404</v>
      </c>
      <c r="D687">
        <f t="shared" si="41"/>
        <v>1984</v>
      </c>
      <c r="E687" t="str">
        <f t="shared" si="42"/>
        <v>May-1984</v>
      </c>
      <c r="F687" s="12">
        <f t="shared" si="43"/>
        <v>6.36</v>
      </c>
    </row>
    <row r="688" spans="1:6" x14ac:dyDescent="0.25">
      <c r="A688" s="1">
        <v>30827</v>
      </c>
      <c r="B688">
        <v>14.08</v>
      </c>
      <c r="C688" s="11">
        <f t="shared" si="40"/>
        <v>0.14080000000000001</v>
      </c>
      <c r="D688">
        <f t="shared" si="41"/>
        <v>1984</v>
      </c>
      <c r="E688" t="str">
        <f t="shared" si="42"/>
        <v>May-1984</v>
      </c>
      <c r="F688" s="12">
        <f t="shared" si="43"/>
        <v>6.36</v>
      </c>
    </row>
    <row r="689" spans="1:6" x14ac:dyDescent="0.25">
      <c r="A689" s="1">
        <v>30834</v>
      </c>
      <c r="B689">
        <v>14.29</v>
      </c>
      <c r="C689" s="11">
        <f t="shared" si="40"/>
        <v>0.1429</v>
      </c>
      <c r="D689">
        <f t="shared" si="41"/>
        <v>1984</v>
      </c>
      <c r="E689" t="str">
        <f t="shared" si="42"/>
        <v>Jun-1984</v>
      </c>
      <c r="F689" s="12">
        <f t="shared" si="43"/>
        <v>6.36</v>
      </c>
    </row>
    <row r="690" spans="1:6" x14ac:dyDescent="0.25">
      <c r="A690" s="1">
        <v>30841</v>
      </c>
      <c r="B690">
        <v>14.33</v>
      </c>
      <c r="C690" s="11">
        <f t="shared" si="40"/>
        <v>0.14330000000000001</v>
      </c>
      <c r="D690">
        <f t="shared" si="41"/>
        <v>1984</v>
      </c>
      <c r="E690" t="str">
        <f t="shared" si="42"/>
        <v>Jun-1984</v>
      </c>
      <c r="F690" s="12">
        <f t="shared" si="43"/>
        <v>6.36</v>
      </c>
    </row>
    <row r="691" spans="1:6" x14ac:dyDescent="0.25">
      <c r="A691" s="1">
        <v>30848</v>
      </c>
      <c r="B691">
        <v>14.47</v>
      </c>
      <c r="C691" s="11">
        <f t="shared" si="40"/>
        <v>0.1447</v>
      </c>
      <c r="D691">
        <f t="shared" si="41"/>
        <v>1984</v>
      </c>
      <c r="E691" t="str">
        <f t="shared" si="42"/>
        <v>Jun-1984</v>
      </c>
      <c r="F691" s="12">
        <f t="shared" si="43"/>
        <v>6.36</v>
      </c>
    </row>
    <row r="692" spans="1:6" x14ac:dyDescent="0.25">
      <c r="A692" s="1">
        <v>30855</v>
      </c>
      <c r="B692">
        <v>14.49</v>
      </c>
      <c r="C692" s="11">
        <f t="shared" si="40"/>
        <v>0.1449</v>
      </c>
      <c r="D692">
        <f t="shared" si="41"/>
        <v>1984</v>
      </c>
      <c r="E692" t="str">
        <f t="shared" si="42"/>
        <v>Jun-1984</v>
      </c>
      <c r="F692" s="12">
        <f t="shared" si="43"/>
        <v>6.36</v>
      </c>
    </row>
    <row r="693" spans="1:6" x14ac:dyDescent="0.25">
      <c r="A693" s="1">
        <v>30862</v>
      </c>
      <c r="B693">
        <v>14.5</v>
      </c>
      <c r="C693" s="11">
        <f t="shared" si="40"/>
        <v>0.14499999999999999</v>
      </c>
      <c r="D693">
        <f t="shared" si="41"/>
        <v>1984</v>
      </c>
      <c r="E693" t="str">
        <f t="shared" si="42"/>
        <v>Jun-1984</v>
      </c>
      <c r="F693" s="12">
        <f t="shared" si="43"/>
        <v>6.36</v>
      </c>
    </row>
    <row r="694" spans="1:6" x14ac:dyDescent="0.25">
      <c r="A694" s="1">
        <v>30869</v>
      </c>
      <c r="B694">
        <v>14.66</v>
      </c>
      <c r="C694" s="11">
        <f t="shared" si="40"/>
        <v>0.14660000000000001</v>
      </c>
      <c r="D694">
        <f t="shared" si="41"/>
        <v>1984</v>
      </c>
      <c r="E694" t="str">
        <f t="shared" si="42"/>
        <v>Jul-1984</v>
      </c>
      <c r="F694" s="12">
        <f t="shared" si="43"/>
        <v>6.36</v>
      </c>
    </row>
    <row r="695" spans="1:6" x14ac:dyDescent="0.25">
      <c r="A695" s="1">
        <v>30876</v>
      </c>
      <c r="B695">
        <v>14.68</v>
      </c>
      <c r="C695" s="11">
        <f t="shared" si="40"/>
        <v>0.14679999999999999</v>
      </c>
      <c r="D695">
        <f t="shared" si="41"/>
        <v>1984</v>
      </c>
      <c r="E695" t="str">
        <f t="shared" si="42"/>
        <v>Jul-1984</v>
      </c>
      <c r="F695" s="12">
        <f t="shared" si="43"/>
        <v>6.36</v>
      </c>
    </row>
    <row r="696" spans="1:6" x14ac:dyDescent="0.25">
      <c r="A696" s="1">
        <v>30883</v>
      </c>
      <c r="B696">
        <v>14.66</v>
      </c>
      <c r="C696" s="11">
        <f t="shared" si="40"/>
        <v>0.14660000000000001</v>
      </c>
      <c r="D696">
        <f t="shared" si="41"/>
        <v>1984</v>
      </c>
      <c r="E696" t="str">
        <f t="shared" si="42"/>
        <v>Jul-1984</v>
      </c>
      <c r="F696" s="12">
        <f t="shared" si="43"/>
        <v>6.36</v>
      </c>
    </row>
    <row r="697" spans="1:6" x14ac:dyDescent="0.25">
      <c r="A697" s="1">
        <v>30890</v>
      </c>
      <c r="B697">
        <v>14.67</v>
      </c>
      <c r="C697" s="11">
        <f t="shared" si="40"/>
        <v>0.1467</v>
      </c>
      <c r="D697">
        <f t="shared" si="41"/>
        <v>1984</v>
      </c>
      <c r="E697" t="str">
        <f t="shared" si="42"/>
        <v>Jul-1984</v>
      </c>
      <c r="F697" s="12">
        <f t="shared" si="43"/>
        <v>6.36</v>
      </c>
    </row>
    <row r="698" spans="1:6" x14ac:dyDescent="0.25">
      <c r="A698" s="1">
        <v>30897</v>
      </c>
      <c r="B698">
        <v>14.68</v>
      </c>
      <c r="C698" s="11">
        <f t="shared" si="40"/>
        <v>0.14679999999999999</v>
      </c>
      <c r="D698">
        <f t="shared" si="41"/>
        <v>1984</v>
      </c>
      <c r="E698" t="str">
        <f t="shared" si="42"/>
        <v>Aug-1984</v>
      </c>
      <c r="F698" s="12">
        <f t="shared" si="43"/>
        <v>6.36</v>
      </c>
    </row>
    <row r="699" spans="1:6" x14ac:dyDescent="0.25">
      <c r="A699" s="1">
        <v>30904</v>
      </c>
      <c r="B699">
        <v>14.54</v>
      </c>
      <c r="C699" s="11">
        <f t="shared" si="40"/>
        <v>0.1454</v>
      </c>
      <c r="D699">
        <f t="shared" si="41"/>
        <v>1984</v>
      </c>
      <c r="E699" t="str">
        <f t="shared" si="42"/>
        <v>Aug-1984</v>
      </c>
      <c r="F699" s="12">
        <f t="shared" si="43"/>
        <v>6.36</v>
      </c>
    </row>
    <row r="700" spans="1:6" x14ac:dyDescent="0.25">
      <c r="A700" s="1">
        <v>30911</v>
      </c>
      <c r="B700">
        <v>14.39</v>
      </c>
      <c r="C700" s="11">
        <f t="shared" si="40"/>
        <v>0.1439</v>
      </c>
      <c r="D700">
        <f t="shared" si="41"/>
        <v>1984</v>
      </c>
      <c r="E700" t="str">
        <f t="shared" si="42"/>
        <v>Aug-1984</v>
      </c>
      <c r="F700" s="12">
        <f t="shared" si="43"/>
        <v>6.36</v>
      </c>
    </row>
    <row r="701" spans="1:6" x14ac:dyDescent="0.25">
      <c r="A701" s="1">
        <v>30918</v>
      </c>
      <c r="B701">
        <v>14.36</v>
      </c>
      <c r="C701" s="11">
        <f t="shared" si="40"/>
        <v>0.14360000000000001</v>
      </c>
      <c r="D701">
        <f t="shared" si="41"/>
        <v>1984</v>
      </c>
      <c r="E701" t="str">
        <f t="shared" si="42"/>
        <v>Aug-1984</v>
      </c>
      <c r="F701" s="12">
        <f t="shared" si="43"/>
        <v>6.36</v>
      </c>
    </row>
    <row r="702" spans="1:6" x14ac:dyDescent="0.25">
      <c r="A702" s="1">
        <v>30925</v>
      </c>
      <c r="B702">
        <v>14.38</v>
      </c>
      <c r="C702" s="11">
        <f t="shared" si="40"/>
        <v>0.14380000000000001</v>
      </c>
      <c r="D702">
        <f t="shared" si="41"/>
        <v>1984</v>
      </c>
      <c r="E702" t="str">
        <f t="shared" si="42"/>
        <v>Aug-1984</v>
      </c>
      <c r="F702" s="12">
        <f t="shared" si="43"/>
        <v>6.36</v>
      </c>
    </row>
    <row r="703" spans="1:6" x14ac:dyDescent="0.25">
      <c r="A703" s="1">
        <v>30932</v>
      </c>
      <c r="B703">
        <v>14.42</v>
      </c>
      <c r="C703" s="11">
        <f t="shared" si="40"/>
        <v>0.14419999999999999</v>
      </c>
      <c r="D703">
        <f t="shared" si="41"/>
        <v>1984</v>
      </c>
      <c r="E703" t="str">
        <f t="shared" si="42"/>
        <v>Sep-1984</v>
      </c>
      <c r="F703" s="12">
        <f t="shared" si="43"/>
        <v>6.36</v>
      </c>
    </row>
    <row r="704" spans="1:6" x14ac:dyDescent="0.25">
      <c r="A704" s="1">
        <v>30939</v>
      </c>
      <c r="B704">
        <v>14.43</v>
      </c>
      <c r="C704" s="11">
        <f t="shared" si="40"/>
        <v>0.14429999999999998</v>
      </c>
      <c r="D704">
        <f t="shared" si="41"/>
        <v>1984</v>
      </c>
      <c r="E704" t="str">
        <f t="shared" si="42"/>
        <v>Sep-1984</v>
      </c>
      <c r="F704" s="12">
        <f t="shared" si="43"/>
        <v>6.36</v>
      </c>
    </row>
    <row r="705" spans="1:6" x14ac:dyDescent="0.25">
      <c r="A705" s="1">
        <v>30946</v>
      </c>
      <c r="B705">
        <v>14.29</v>
      </c>
      <c r="C705" s="11">
        <f t="shared" si="40"/>
        <v>0.1429</v>
      </c>
      <c r="D705">
        <f t="shared" si="41"/>
        <v>1984</v>
      </c>
      <c r="E705" t="str">
        <f t="shared" si="42"/>
        <v>Sep-1984</v>
      </c>
      <c r="F705" s="12">
        <f t="shared" si="43"/>
        <v>6.36</v>
      </c>
    </row>
    <row r="706" spans="1:6" x14ac:dyDescent="0.25">
      <c r="A706" s="1">
        <v>30953</v>
      </c>
      <c r="B706">
        <v>14.26</v>
      </c>
      <c r="C706" s="11">
        <f t="shared" ref="C706:C769" si="44">B706/100</f>
        <v>0.1426</v>
      </c>
      <c r="D706">
        <f t="shared" ref="D706:D769" si="45">YEAR(A706)</f>
        <v>1984</v>
      </c>
      <c r="E706" t="str">
        <f t="shared" ref="E706:E769" si="46">TEXT(A706,"MMM-YYYY")</f>
        <v>Sep-1984</v>
      </c>
      <c r="F706" s="12">
        <f t="shared" ref="F706:F769" si="47">$H$2</f>
        <v>6.36</v>
      </c>
    </row>
    <row r="707" spans="1:6" x14ac:dyDescent="0.25">
      <c r="A707" s="1">
        <v>30960</v>
      </c>
      <c r="B707">
        <v>14.18</v>
      </c>
      <c r="C707" s="11">
        <f t="shared" si="44"/>
        <v>0.14180000000000001</v>
      </c>
      <c r="D707">
        <f t="shared" si="45"/>
        <v>1984</v>
      </c>
      <c r="E707" t="str">
        <f t="shared" si="46"/>
        <v>Oct-1984</v>
      </c>
      <c r="F707" s="12">
        <f t="shared" si="47"/>
        <v>6.36</v>
      </c>
    </row>
    <row r="708" spans="1:6" x14ac:dyDescent="0.25">
      <c r="A708" s="1">
        <v>30967</v>
      </c>
      <c r="B708">
        <v>14.19</v>
      </c>
      <c r="C708" s="11">
        <f t="shared" si="44"/>
        <v>0.1419</v>
      </c>
      <c r="D708">
        <f t="shared" si="45"/>
        <v>1984</v>
      </c>
      <c r="E708" t="str">
        <f t="shared" si="46"/>
        <v>Oct-1984</v>
      </c>
      <c r="F708" s="12">
        <f t="shared" si="47"/>
        <v>6.36</v>
      </c>
    </row>
    <row r="709" spans="1:6" x14ac:dyDescent="0.25">
      <c r="A709" s="1">
        <v>30974</v>
      </c>
      <c r="B709">
        <v>14.1</v>
      </c>
      <c r="C709" s="11">
        <f t="shared" si="44"/>
        <v>0.14099999999999999</v>
      </c>
      <c r="D709">
        <f t="shared" si="45"/>
        <v>1984</v>
      </c>
      <c r="E709" t="str">
        <f t="shared" si="46"/>
        <v>Oct-1984</v>
      </c>
      <c r="F709" s="12">
        <f t="shared" si="47"/>
        <v>6.36</v>
      </c>
    </row>
    <row r="710" spans="1:6" x14ac:dyDescent="0.25">
      <c r="A710" s="1">
        <v>30981</v>
      </c>
      <c r="B710">
        <v>14.05</v>
      </c>
      <c r="C710" s="11">
        <f t="shared" si="44"/>
        <v>0.14050000000000001</v>
      </c>
      <c r="D710">
        <f t="shared" si="45"/>
        <v>1984</v>
      </c>
      <c r="E710" t="str">
        <f t="shared" si="46"/>
        <v>Oct-1984</v>
      </c>
      <c r="F710" s="12">
        <f t="shared" si="47"/>
        <v>6.36</v>
      </c>
    </row>
    <row r="711" spans="1:6" x14ac:dyDescent="0.25">
      <c r="A711" s="1">
        <v>30988</v>
      </c>
      <c r="B711">
        <v>13.85</v>
      </c>
      <c r="C711" s="11">
        <f t="shared" si="44"/>
        <v>0.13849999999999998</v>
      </c>
      <c r="D711">
        <f t="shared" si="45"/>
        <v>1984</v>
      </c>
      <c r="E711" t="str">
        <f t="shared" si="46"/>
        <v>Nov-1984</v>
      </c>
      <c r="F711" s="12">
        <f t="shared" si="47"/>
        <v>6.36</v>
      </c>
    </row>
    <row r="712" spans="1:6" x14ac:dyDescent="0.25">
      <c r="A712" s="1">
        <v>30995</v>
      </c>
      <c r="B712">
        <v>13.74</v>
      </c>
      <c r="C712" s="11">
        <f t="shared" si="44"/>
        <v>0.13739999999999999</v>
      </c>
      <c r="D712">
        <f t="shared" si="45"/>
        <v>1984</v>
      </c>
      <c r="E712" t="str">
        <f t="shared" si="46"/>
        <v>Nov-1984</v>
      </c>
      <c r="F712" s="12">
        <f t="shared" si="47"/>
        <v>6.36</v>
      </c>
    </row>
    <row r="713" spans="1:6" x14ac:dyDescent="0.25">
      <c r="A713" s="1">
        <v>31002</v>
      </c>
      <c r="B713">
        <v>13.63</v>
      </c>
      <c r="C713" s="11">
        <f t="shared" si="44"/>
        <v>0.1363</v>
      </c>
      <c r="D713">
        <f t="shared" si="45"/>
        <v>1984</v>
      </c>
      <c r="E713" t="str">
        <f t="shared" si="46"/>
        <v>Nov-1984</v>
      </c>
      <c r="F713" s="12">
        <f t="shared" si="47"/>
        <v>6.36</v>
      </c>
    </row>
    <row r="714" spans="1:6" x14ac:dyDescent="0.25">
      <c r="A714" s="1">
        <v>31009</v>
      </c>
      <c r="B714">
        <v>13.55</v>
      </c>
      <c r="C714" s="11">
        <f t="shared" si="44"/>
        <v>0.13550000000000001</v>
      </c>
      <c r="D714">
        <f t="shared" si="45"/>
        <v>1984</v>
      </c>
      <c r="E714" t="str">
        <f t="shared" si="46"/>
        <v>Nov-1984</v>
      </c>
      <c r="F714" s="12">
        <f t="shared" si="47"/>
        <v>6.36</v>
      </c>
    </row>
    <row r="715" spans="1:6" x14ac:dyDescent="0.25">
      <c r="A715" s="1">
        <v>31016</v>
      </c>
      <c r="B715">
        <v>13.42</v>
      </c>
      <c r="C715" s="11">
        <f t="shared" si="44"/>
        <v>0.13419999999999999</v>
      </c>
      <c r="D715">
        <f t="shared" si="45"/>
        <v>1984</v>
      </c>
      <c r="E715" t="str">
        <f t="shared" si="46"/>
        <v>Nov-1984</v>
      </c>
      <c r="F715" s="12">
        <f t="shared" si="47"/>
        <v>6.36</v>
      </c>
    </row>
    <row r="716" spans="1:6" x14ac:dyDescent="0.25">
      <c r="A716" s="1">
        <v>31023</v>
      </c>
      <c r="B716">
        <v>13.2</v>
      </c>
      <c r="C716" s="11">
        <f t="shared" si="44"/>
        <v>0.13200000000000001</v>
      </c>
      <c r="D716">
        <f t="shared" si="45"/>
        <v>1984</v>
      </c>
      <c r="E716" t="str">
        <f t="shared" si="46"/>
        <v>Dec-1984</v>
      </c>
      <c r="F716" s="12">
        <f t="shared" si="47"/>
        <v>6.36</v>
      </c>
    </row>
    <row r="717" spans="1:6" x14ac:dyDescent="0.25">
      <c r="A717" s="1">
        <v>31030</v>
      </c>
      <c r="B717">
        <v>13.2</v>
      </c>
      <c r="C717" s="11">
        <f t="shared" si="44"/>
        <v>0.13200000000000001</v>
      </c>
      <c r="D717">
        <f t="shared" si="45"/>
        <v>1984</v>
      </c>
      <c r="E717" t="str">
        <f t="shared" si="46"/>
        <v>Dec-1984</v>
      </c>
      <c r="F717" s="12">
        <f t="shared" si="47"/>
        <v>6.36</v>
      </c>
    </row>
    <row r="718" spans="1:6" x14ac:dyDescent="0.25">
      <c r="A718" s="1">
        <v>31037</v>
      </c>
      <c r="B718">
        <v>13.18</v>
      </c>
      <c r="C718" s="11">
        <f t="shared" si="44"/>
        <v>0.1318</v>
      </c>
      <c r="D718">
        <f t="shared" si="45"/>
        <v>1984</v>
      </c>
      <c r="E718" t="str">
        <f t="shared" si="46"/>
        <v>Dec-1984</v>
      </c>
      <c r="F718" s="12">
        <f t="shared" si="47"/>
        <v>6.36</v>
      </c>
    </row>
    <row r="719" spans="1:6" x14ac:dyDescent="0.25">
      <c r="A719" s="1">
        <v>31044</v>
      </c>
      <c r="B719">
        <v>13.14</v>
      </c>
      <c r="C719" s="11">
        <f t="shared" si="44"/>
        <v>0.13140000000000002</v>
      </c>
      <c r="D719">
        <f t="shared" si="45"/>
        <v>1984</v>
      </c>
      <c r="E719" t="str">
        <f t="shared" si="46"/>
        <v>Dec-1984</v>
      </c>
      <c r="F719" s="12">
        <f t="shared" si="47"/>
        <v>6.36</v>
      </c>
    </row>
    <row r="720" spans="1:6" x14ac:dyDescent="0.25">
      <c r="A720" s="1">
        <v>31051</v>
      </c>
      <c r="B720">
        <v>13.1</v>
      </c>
      <c r="C720" s="11">
        <f t="shared" si="44"/>
        <v>0.13100000000000001</v>
      </c>
      <c r="D720">
        <f t="shared" si="45"/>
        <v>1985</v>
      </c>
      <c r="E720" t="str">
        <f t="shared" si="46"/>
        <v>Jan-1985</v>
      </c>
      <c r="F720" s="12">
        <f t="shared" si="47"/>
        <v>6.36</v>
      </c>
    </row>
    <row r="721" spans="1:6" x14ac:dyDescent="0.25">
      <c r="A721" s="1">
        <v>31058</v>
      </c>
      <c r="B721">
        <v>13.12</v>
      </c>
      <c r="C721" s="11">
        <f t="shared" si="44"/>
        <v>0.13119999999999998</v>
      </c>
      <c r="D721">
        <f t="shared" si="45"/>
        <v>1985</v>
      </c>
      <c r="E721" t="str">
        <f t="shared" si="46"/>
        <v>Jan-1985</v>
      </c>
      <c r="F721" s="12">
        <f t="shared" si="47"/>
        <v>6.36</v>
      </c>
    </row>
    <row r="722" spans="1:6" x14ac:dyDescent="0.25">
      <c r="A722" s="1">
        <v>31065</v>
      </c>
      <c r="B722">
        <v>13.12</v>
      </c>
      <c r="C722" s="11">
        <f t="shared" si="44"/>
        <v>0.13119999999999998</v>
      </c>
      <c r="D722">
        <f t="shared" si="45"/>
        <v>1985</v>
      </c>
      <c r="E722" t="str">
        <f t="shared" si="46"/>
        <v>Jan-1985</v>
      </c>
      <c r="F722" s="12">
        <f t="shared" si="47"/>
        <v>6.36</v>
      </c>
    </row>
    <row r="723" spans="1:6" x14ac:dyDescent="0.25">
      <c r="A723" s="1">
        <v>31072</v>
      </c>
      <c r="B723">
        <v>12.96</v>
      </c>
      <c r="C723" s="11">
        <f t="shared" si="44"/>
        <v>0.12960000000000002</v>
      </c>
      <c r="D723">
        <f t="shared" si="45"/>
        <v>1985</v>
      </c>
      <c r="E723" t="str">
        <f t="shared" si="46"/>
        <v>Jan-1985</v>
      </c>
      <c r="F723" s="12">
        <f t="shared" si="47"/>
        <v>6.36</v>
      </c>
    </row>
    <row r="724" spans="1:6" x14ac:dyDescent="0.25">
      <c r="A724" s="1">
        <v>31079</v>
      </c>
      <c r="B724">
        <v>12.93</v>
      </c>
      <c r="C724" s="11">
        <f t="shared" si="44"/>
        <v>0.1293</v>
      </c>
      <c r="D724">
        <f t="shared" si="45"/>
        <v>1985</v>
      </c>
      <c r="E724" t="str">
        <f t="shared" si="46"/>
        <v>Feb-1985</v>
      </c>
      <c r="F724" s="12">
        <f t="shared" si="47"/>
        <v>6.36</v>
      </c>
    </row>
    <row r="725" spans="1:6" x14ac:dyDescent="0.25">
      <c r="A725" s="1">
        <v>31086</v>
      </c>
      <c r="B725">
        <v>12.91</v>
      </c>
      <c r="C725" s="11">
        <f t="shared" si="44"/>
        <v>0.12909999999999999</v>
      </c>
      <c r="D725">
        <f t="shared" si="45"/>
        <v>1985</v>
      </c>
      <c r="E725" t="str">
        <f t="shared" si="46"/>
        <v>Feb-1985</v>
      </c>
      <c r="F725" s="12">
        <f t="shared" si="47"/>
        <v>6.36</v>
      </c>
    </row>
    <row r="726" spans="1:6" x14ac:dyDescent="0.25">
      <c r="A726" s="1">
        <v>31093</v>
      </c>
      <c r="B726">
        <v>12.9</v>
      </c>
      <c r="C726" s="11">
        <f t="shared" si="44"/>
        <v>0.129</v>
      </c>
      <c r="D726">
        <f t="shared" si="45"/>
        <v>1985</v>
      </c>
      <c r="E726" t="str">
        <f t="shared" si="46"/>
        <v>Feb-1985</v>
      </c>
      <c r="F726" s="12">
        <f t="shared" si="47"/>
        <v>6.36</v>
      </c>
    </row>
    <row r="727" spans="1:6" x14ac:dyDescent="0.25">
      <c r="A727" s="1">
        <v>31100</v>
      </c>
      <c r="B727">
        <v>12.94</v>
      </c>
      <c r="C727" s="11">
        <f t="shared" si="44"/>
        <v>0.12939999999999999</v>
      </c>
      <c r="D727">
        <f t="shared" si="45"/>
        <v>1985</v>
      </c>
      <c r="E727" t="str">
        <f t="shared" si="46"/>
        <v>Feb-1985</v>
      </c>
      <c r="F727" s="12">
        <f t="shared" si="47"/>
        <v>6.36</v>
      </c>
    </row>
    <row r="728" spans="1:6" x14ac:dyDescent="0.25">
      <c r="A728" s="1">
        <v>31107</v>
      </c>
      <c r="B728">
        <v>13.02</v>
      </c>
      <c r="C728" s="11">
        <f t="shared" si="44"/>
        <v>0.13019999999999998</v>
      </c>
      <c r="D728">
        <f t="shared" si="45"/>
        <v>1985</v>
      </c>
      <c r="E728" t="str">
        <f t="shared" si="46"/>
        <v>Mar-1985</v>
      </c>
      <c r="F728" s="12">
        <f t="shared" si="47"/>
        <v>6.36</v>
      </c>
    </row>
    <row r="729" spans="1:6" x14ac:dyDescent="0.25">
      <c r="A729" s="1">
        <v>31114</v>
      </c>
      <c r="B729">
        <v>13.1</v>
      </c>
      <c r="C729" s="11">
        <f t="shared" si="44"/>
        <v>0.13100000000000001</v>
      </c>
      <c r="D729">
        <f t="shared" si="45"/>
        <v>1985</v>
      </c>
      <c r="E729" t="str">
        <f t="shared" si="46"/>
        <v>Mar-1985</v>
      </c>
      <c r="F729" s="12">
        <f t="shared" si="47"/>
        <v>6.36</v>
      </c>
    </row>
    <row r="730" spans="1:6" x14ac:dyDescent="0.25">
      <c r="A730" s="1">
        <v>31121</v>
      </c>
      <c r="B730">
        <v>13.2</v>
      </c>
      <c r="C730" s="11">
        <f t="shared" si="44"/>
        <v>0.13200000000000001</v>
      </c>
      <c r="D730">
        <f t="shared" si="45"/>
        <v>1985</v>
      </c>
      <c r="E730" t="str">
        <f t="shared" si="46"/>
        <v>Mar-1985</v>
      </c>
      <c r="F730" s="12">
        <f t="shared" si="47"/>
        <v>6.36</v>
      </c>
    </row>
    <row r="731" spans="1:6" x14ac:dyDescent="0.25">
      <c r="A731" s="1">
        <v>31128</v>
      </c>
      <c r="B731">
        <v>13.24</v>
      </c>
      <c r="C731" s="11">
        <f t="shared" si="44"/>
        <v>0.13239999999999999</v>
      </c>
      <c r="D731">
        <f t="shared" si="45"/>
        <v>1985</v>
      </c>
      <c r="E731" t="str">
        <f t="shared" si="46"/>
        <v>Mar-1985</v>
      </c>
      <c r="F731" s="12">
        <f t="shared" si="47"/>
        <v>6.36</v>
      </c>
    </row>
    <row r="732" spans="1:6" x14ac:dyDescent="0.25">
      <c r="A732" s="1">
        <v>31135</v>
      </c>
      <c r="B732">
        <v>13.29</v>
      </c>
      <c r="C732" s="11">
        <f t="shared" si="44"/>
        <v>0.13289999999999999</v>
      </c>
      <c r="D732">
        <f t="shared" si="45"/>
        <v>1985</v>
      </c>
      <c r="E732" t="str">
        <f t="shared" si="46"/>
        <v>Mar-1985</v>
      </c>
      <c r="F732" s="12">
        <f t="shared" si="47"/>
        <v>6.36</v>
      </c>
    </row>
    <row r="733" spans="1:6" x14ac:dyDescent="0.25">
      <c r="A733" s="1">
        <v>31142</v>
      </c>
      <c r="B733">
        <v>13.27</v>
      </c>
      <c r="C733" s="11">
        <f t="shared" si="44"/>
        <v>0.13269999999999998</v>
      </c>
      <c r="D733">
        <f t="shared" si="45"/>
        <v>1985</v>
      </c>
      <c r="E733" t="str">
        <f t="shared" si="46"/>
        <v>Apr-1985</v>
      </c>
      <c r="F733" s="12">
        <f t="shared" si="47"/>
        <v>6.36</v>
      </c>
    </row>
    <row r="734" spans="1:6" x14ac:dyDescent="0.25">
      <c r="A734" s="1">
        <v>31149</v>
      </c>
      <c r="B734">
        <v>13.23</v>
      </c>
      <c r="C734" s="11">
        <f t="shared" si="44"/>
        <v>0.1323</v>
      </c>
      <c r="D734">
        <f t="shared" si="45"/>
        <v>1985</v>
      </c>
      <c r="E734" t="str">
        <f t="shared" si="46"/>
        <v>Apr-1985</v>
      </c>
      <c r="F734" s="12">
        <f t="shared" si="47"/>
        <v>6.36</v>
      </c>
    </row>
    <row r="735" spans="1:6" x14ac:dyDescent="0.25">
      <c r="A735" s="1">
        <v>31156</v>
      </c>
      <c r="B735">
        <v>13.16</v>
      </c>
      <c r="C735" s="11">
        <f t="shared" si="44"/>
        <v>0.13159999999999999</v>
      </c>
      <c r="D735">
        <f t="shared" si="45"/>
        <v>1985</v>
      </c>
      <c r="E735" t="str">
        <f t="shared" si="46"/>
        <v>Apr-1985</v>
      </c>
      <c r="F735" s="12">
        <f t="shared" si="47"/>
        <v>6.36</v>
      </c>
    </row>
    <row r="736" spans="1:6" x14ac:dyDescent="0.25">
      <c r="A736" s="1">
        <v>31163</v>
      </c>
      <c r="B736">
        <v>13.12</v>
      </c>
      <c r="C736" s="11">
        <f t="shared" si="44"/>
        <v>0.13119999999999998</v>
      </c>
      <c r="D736">
        <f t="shared" si="45"/>
        <v>1985</v>
      </c>
      <c r="E736" t="str">
        <f t="shared" si="46"/>
        <v>Apr-1985</v>
      </c>
      <c r="F736" s="12">
        <f t="shared" si="47"/>
        <v>6.36</v>
      </c>
    </row>
    <row r="737" spans="1:6" x14ac:dyDescent="0.25">
      <c r="A737" s="1">
        <v>31170</v>
      </c>
      <c r="B737">
        <v>13.07</v>
      </c>
      <c r="C737" s="11">
        <f t="shared" si="44"/>
        <v>0.13070000000000001</v>
      </c>
      <c r="D737">
        <f t="shared" si="45"/>
        <v>1985</v>
      </c>
      <c r="E737" t="str">
        <f t="shared" si="46"/>
        <v>May-1985</v>
      </c>
      <c r="F737" s="12">
        <f t="shared" si="47"/>
        <v>6.36</v>
      </c>
    </row>
    <row r="738" spans="1:6" x14ac:dyDescent="0.25">
      <c r="A738" s="1">
        <v>31177</v>
      </c>
      <c r="B738">
        <v>13.02</v>
      </c>
      <c r="C738" s="11">
        <f t="shared" si="44"/>
        <v>0.13019999999999998</v>
      </c>
      <c r="D738">
        <f t="shared" si="45"/>
        <v>1985</v>
      </c>
      <c r="E738" t="str">
        <f t="shared" si="46"/>
        <v>May-1985</v>
      </c>
      <c r="F738" s="12">
        <f t="shared" si="47"/>
        <v>6.36</v>
      </c>
    </row>
    <row r="739" spans="1:6" x14ac:dyDescent="0.25">
      <c r="A739" s="1">
        <v>31184</v>
      </c>
      <c r="B739">
        <v>12.94</v>
      </c>
      <c r="C739" s="11">
        <f t="shared" si="44"/>
        <v>0.12939999999999999</v>
      </c>
      <c r="D739">
        <f t="shared" si="45"/>
        <v>1985</v>
      </c>
      <c r="E739" t="str">
        <f t="shared" si="46"/>
        <v>May-1985</v>
      </c>
      <c r="F739" s="12">
        <f t="shared" si="47"/>
        <v>6.36</v>
      </c>
    </row>
    <row r="740" spans="1:6" x14ac:dyDescent="0.25">
      <c r="A740" s="1">
        <v>31191</v>
      </c>
      <c r="B740">
        <v>12.83</v>
      </c>
      <c r="C740" s="11">
        <f t="shared" si="44"/>
        <v>0.1283</v>
      </c>
      <c r="D740">
        <f t="shared" si="45"/>
        <v>1985</v>
      </c>
      <c r="E740" t="str">
        <f t="shared" si="46"/>
        <v>May-1985</v>
      </c>
      <c r="F740" s="12">
        <f t="shared" si="47"/>
        <v>6.36</v>
      </c>
    </row>
    <row r="741" spans="1:6" x14ac:dyDescent="0.25">
      <c r="A741" s="1">
        <v>31198</v>
      </c>
      <c r="B741">
        <v>12.71</v>
      </c>
      <c r="C741" s="11">
        <f t="shared" si="44"/>
        <v>0.12710000000000002</v>
      </c>
      <c r="D741">
        <f t="shared" si="45"/>
        <v>1985</v>
      </c>
      <c r="E741" t="str">
        <f t="shared" si="46"/>
        <v>May-1985</v>
      </c>
      <c r="F741" s="12">
        <f t="shared" si="47"/>
        <v>6.36</v>
      </c>
    </row>
    <row r="742" spans="1:6" x14ac:dyDescent="0.25">
      <c r="A742" s="1">
        <v>31205</v>
      </c>
      <c r="B742">
        <v>12.39</v>
      </c>
      <c r="C742" s="11">
        <f t="shared" si="44"/>
        <v>0.12390000000000001</v>
      </c>
      <c r="D742">
        <f t="shared" si="45"/>
        <v>1985</v>
      </c>
      <c r="E742" t="str">
        <f t="shared" si="46"/>
        <v>Jun-1985</v>
      </c>
      <c r="F742" s="12">
        <f t="shared" si="47"/>
        <v>6.36</v>
      </c>
    </row>
    <row r="743" spans="1:6" x14ac:dyDescent="0.25">
      <c r="A743" s="1">
        <v>31212</v>
      </c>
      <c r="B743">
        <v>12.27</v>
      </c>
      <c r="C743" s="11">
        <f t="shared" si="44"/>
        <v>0.12269999999999999</v>
      </c>
      <c r="D743">
        <f t="shared" si="45"/>
        <v>1985</v>
      </c>
      <c r="E743" t="str">
        <f t="shared" si="46"/>
        <v>Jun-1985</v>
      </c>
      <c r="F743" s="12">
        <f t="shared" si="47"/>
        <v>6.36</v>
      </c>
    </row>
    <row r="744" spans="1:6" x14ac:dyDescent="0.25">
      <c r="A744" s="1">
        <v>31219</v>
      </c>
      <c r="B744">
        <v>12.05</v>
      </c>
      <c r="C744" s="11">
        <f t="shared" si="44"/>
        <v>0.12050000000000001</v>
      </c>
      <c r="D744">
        <f t="shared" si="45"/>
        <v>1985</v>
      </c>
      <c r="E744" t="str">
        <f t="shared" si="46"/>
        <v>Jun-1985</v>
      </c>
      <c r="F744" s="12">
        <f t="shared" si="47"/>
        <v>6.36</v>
      </c>
    </row>
    <row r="745" spans="1:6" x14ac:dyDescent="0.25">
      <c r="A745" s="1">
        <v>31226</v>
      </c>
      <c r="B745">
        <v>12.15</v>
      </c>
      <c r="C745" s="11">
        <f t="shared" si="44"/>
        <v>0.1215</v>
      </c>
      <c r="D745">
        <f t="shared" si="45"/>
        <v>1985</v>
      </c>
      <c r="E745" t="str">
        <f t="shared" si="46"/>
        <v>Jun-1985</v>
      </c>
      <c r="F745" s="12">
        <f t="shared" si="47"/>
        <v>6.36</v>
      </c>
    </row>
    <row r="746" spans="1:6" x14ac:dyDescent="0.25">
      <c r="A746" s="1">
        <v>31233</v>
      </c>
      <c r="B746">
        <v>12.13</v>
      </c>
      <c r="C746" s="11">
        <f t="shared" si="44"/>
        <v>0.12130000000000001</v>
      </c>
      <c r="D746">
        <f t="shared" si="45"/>
        <v>1985</v>
      </c>
      <c r="E746" t="str">
        <f t="shared" si="46"/>
        <v>Jul-1985</v>
      </c>
      <c r="F746" s="12">
        <f t="shared" si="47"/>
        <v>6.36</v>
      </c>
    </row>
    <row r="747" spans="1:6" x14ac:dyDescent="0.25">
      <c r="A747" s="1">
        <v>31240</v>
      </c>
      <c r="B747">
        <v>12.03</v>
      </c>
      <c r="C747" s="11">
        <f t="shared" si="44"/>
        <v>0.12029999999999999</v>
      </c>
      <c r="D747">
        <f t="shared" si="45"/>
        <v>1985</v>
      </c>
      <c r="E747" t="str">
        <f t="shared" si="46"/>
        <v>Jul-1985</v>
      </c>
      <c r="F747" s="12">
        <f t="shared" si="47"/>
        <v>6.36</v>
      </c>
    </row>
    <row r="748" spans="1:6" x14ac:dyDescent="0.25">
      <c r="A748" s="1">
        <v>31247</v>
      </c>
      <c r="B748">
        <v>11.94</v>
      </c>
      <c r="C748" s="11">
        <f t="shared" si="44"/>
        <v>0.11939999999999999</v>
      </c>
      <c r="D748">
        <f t="shared" si="45"/>
        <v>1985</v>
      </c>
      <c r="E748" t="str">
        <f t="shared" si="46"/>
        <v>Jul-1985</v>
      </c>
      <c r="F748" s="12">
        <f t="shared" si="47"/>
        <v>6.36</v>
      </c>
    </row>
    <row r="749" spans="1:6" x14ac:dyDescent="0.25">
      <c r="A749" s="1">
        <v>31254</v>
      </c>
      <c r="B749">
        <v>12.03</v>
      </c>
      <c r="C749" s="11">
        <f t="shared" si="44"/>
        <v>0.12029999999999999</v>
      </c>
      <c r="D749">
        <f t="shared" si="45"/>
        <v>1985</v>
      </c>
      <c r="E749" t="str">
        <f t="shared" si="46"/>
        <v>Jul-1985</v>
      </c>
      <c r="F749" s="12">
        <f t="shared" si="47"/>
        <v>6.36</v>
      </c>
    </row>
    <row r="750" spans="1:6" x14ac:dyDescent="0.25">
      <c r="A750" s="1">
        <v>31261</v>
      </c>
      <c r="B750">
        <v>12.17</v>
      </c>
      <c r="C750" s="11">
        <f t="shared" si="44"/>
        <v>0.1217</v>
      </c>
      <c r="D750">
        <f t="shared" si="45"/>
        <v>1985</v>
      </c>
      <c r="E750" t="str">
        <f t="shared" si="46"/>
        <v>Aug-1985</v>
      </c>
      <c r="F750" s="12">
        <f t="shared" si="47"/>
        <v>6.36</v>
      </c>
    </row>
    <row r="751" spans="1:6" x14ac:dyDescent="0.25">
      <c r="A751" s="1">
        <v>31268</v>
      </c>
      <c r="B751">
        <v>12.23</v>
      </c>
      <c r="C751" s="11">
        <f t="shared" si="44"/>
        <v>0.12230000000000001</v>
      </c>
      <c r="D751">
        <f t="shared" si="45"/>
        <v>1985</v>
      </c>
      <c r="E751" t="str">
        <f t="shared" si="46"/>
        <v>Aug-1985</v>
      </c>
      <c r="F751" s="12">
        <f t="shared" si="47"/>
        <v>6.36</v>
      </c>
    </row>
    <row r="752" spans="1:6" x14ac:dyDescent="0.25">
      <c r="A752" s="1">
        <v>31275</v>
      </c>
      <c r="B752">
        <v>12.24</v>
      </c>
      <c r="C752" s="11">
        <f t="shared" si="44"/>
        <v>0.12240000000000001</v>
      </c>
      <c r="D752">
        <f t="shared" si="45"/>
        <v>1985</v>
      </c>
      <c r="E752" t="str">
        <f t="shared" si="46"/>
        <v>Aug-1985</v>
      </c>
      <c r="F752" s="12">
        <f t="shared" si="47"/>
        <v>6.36</v>
      </c>
    </row>
    <row r="753" spans="1:6" x14ac:dyDescent="0.25">
      <c r="A753" s="1">
        <v>31282</v>
      </c>
      <c r="B753">
        <v>12.18</v>
      </c>
      <c r="C753" s="11">
        <f t="shared" si="44"/>
        <v>0.12179999999999999</v>
      </c>
      <c r="D753">
        <f t="shared" si="45"/>
        <v>1985</v>
      </c>
      <c r="E753" t="str">
        <f t="shared" si="46"/>
        <v>Aug-1985</v>
      </c>
      <c r="F753" s="12">
        <f t="shared" si="47"/>
        <v>6.36</v>
      </c>
    </row>
    <row r="754" spans="1:6" x14ac:dyDescent="0.25">
      <c r="A754" s="1">
        <v>31289</v>
      </c>
      <c r="B754">
        <v>12.11</v>
      </c>
      <c r="C754" s="11">
        <f t="shared" si="44"/>
        <v>0.1211</v>
      </c>
      <c r="D754">
        <f t="shared" si="45"/>
        <v>1985</v>
      </c>
      <c r="E754" t="str">
        <f t="shared" si="46"/>
        <v>Aug-1985</v>
      </c>
      <c r="F754" s="12">
        <f t="shared" si="47"/>
        <v>6.36</v>
      </c>
    </row>
    <row r="755" spans="1:6" x14ac:dyDescent="0.25">
      <c r="A755" s="1">
        <v>31296</v>
      </c>
      <c r="B755">
        <v>12.15</v>
      </c>
      <c r="C755" s="11">
        <f t="shared" si="44"/>
        <v>0.1215</v>
      </c>
      <c r="D755">
        <f t="shared" si="45"/>
        <v>1985</v>
      </c>
      <c r="E755" t="str">
        <f t="shared" si="46"/>
        <v>Sep-1985</v>
      </c>
      <c r="F755" s="12">
        <f t="shared" si="47"/>
        <v>6.36</v>
      </c>
    </row>
    <row r="756" spans="1:6" x14ac:dyDescent="0.25">
      <c r="A756" s="1">
        <v>31303</v>
      </c>
      <c r="B756">
        <v>12.24</v>
      </c>
      <c r="C756" s="11">
        <f t="shared" si="44"/>
        <v>0.12240000000000001</v>
      </c>
      <c r="D756">
        <f t="shared" si="45"/>
        <v>1985</v>
      </c>
      <c r="E756" t="str">
        <f t="shared" si="46"/>
        <v>Sep-1985</v>
      </c>
      <c r="F756" s="12">
        <f t="shared" si="47"/>
        <v>6.36</v>
      </c>
    </row>
    <row r="757" spans="1:6" x14ac:dyDescent="0.25">
      <c r="A757" s="1">
        <v>31310</v>
      </c>
      <c r="B757">
        <v>12.21</v>
      </c>
      <c r="C757" s="11">
        <f t="shared" si="44"/>
        <v>0.12210000000000001</v>
      </c>
      <c r="D757">
        <f t="shared" si="45"/>
        <v>1985</v>
      </c>
      <c r="E757" t="str">
        <f t="shared" si="46"/>
        <v>Sep-1985</v>
      </c>
      <c r="F757" s="12">
        <f t="shared" si="47"/>
        <v>6.36</v>
      </c>
    </row>
    <row r="758" spans="1:6" x14ac:dyDescent="0.25">
      <c r="A758" s="1">
        <v>31317</v>
      </c>
      <c r="B758">
        <v>12.17</v>
      </c>
      <c r="C758" s="11">
        <f t="shared" si="44"/>
        <v>0.1217</v>
      </c>
      <c r="D758">
        <f t="shared" si="45"/>
        <v>1985</v>
      </c>
      <c r="E758" t="str">
        <f t="shared" si="46"/>
        <v>Sep-1985</v>
      </c>
      <c r="F758" s="12">
        <f t="shared" si="47"/>
        <v>6.36</v>
      </c>
    </row>
    <row r="759" spans="1:6" x14ac:dyDescent="0.25">
      <c r="A759" s="1">
        <v>31324</v>
      </c>
      <c r="B759">
        <v>12.17</v>
      </c>
      <c r="C759" s="11">
        <f t="shared" si="44"/>
        <v>0.1217</v>
      </c>
      <c r="D759">
        <f t="shared" si="45"/>
        <v>1985</v>
      </c>
      <c r="E759" t="str">
        <f t="shared" si="46"/>
        <v>Oct-1985</v>
      </c>
      <c r="F759" s="12">
        <f t="shared" si="47"/>
        <v>6.36</v>
      </c>
    </row>
    <row r="760" spans="1:6" x14ac:dyDescent="0.25">
      <c r="A760" s="1">
        <v>31331</v>
      </c>
      <c r="B760">
        <v>12.17</v>
      </c>
      <c r="C760" s="11">
        <f t="shared" si="44"/>
        <v>0.1217</v>
      </c>
      <c r="D760">
        <f t="shared" si="45"/>
        <v>1985</v>
      </c>
      <c r="E760" t="str">
        <f t="shared" si="46"/>
        <v>Oct-1985</v>
      </c>
      <c r="F760" s="12">
        <f t="shared" si="47"/>
        <v>6.36</v>
      </c>
    </row>
    <row r="761" spans="1:6" x14ac:dyDescent="0.25">
      <c r="A761" s="1">
        <v>31338</v>
      </c>
      <c r="B761">
        <v>12.13</v>
      </c>
      <c r="C761" s="11">
        <f t="shared" si="44"/>
        <v>0.12130000000000001</v>
      </c>
      <c r="D761">
        <f t="shared" si="45"/>
        <v>1985</v>
      </c>
      <c r="E761" t="str">
        <f t="shared" si="46"/>
        <v>Oct-1985</v>
      </c>
      <c r="F761" s="12">
        <f t="shared" si="47"/>
        <v>6.36</v>
      </c>
    </row>
    <row r="762" spans="1:6" x14ac:dyDescent="0.25">
      <c r="A762" s="1">
        <v>31345</v>
      </c>
      <c r="B762">
        <v>12.07</v>
      </c>
      <c r="C762" s="11">
        <f t="shared" si="44"/>
        <v>0.1207</v>
      </c>
      <c r="D762">
        <f t="shared" si="45"/>
        <v>1985</v>
      </c>
      <c r="E762" t="str">
        <f t="shared" si="46"/>
        <v>Oct-1985</v>
      </c>
      <c r="F762" s="12">
        <f t="shared" si="47"/>
        <v>6.36</v>
      </c>
    </row>
    <row r="763" spans="1:6" x14ac:dyDescent="0.25">
      <c r="A763" s="1">
        <v>31352</v>
      </c>
      <c r="B763">
        <v>12.01</v>
      </c>
      <c r="C763" s="11">
        <f t="shared" si="44"/>
        <v>0.1201</v>
      </c>
      <c r="D763">
        <f t="shared" si="45"/>
        <v>1985</v>
      </c>
      <c r="E763" t="str">
        <f t="shared" si="46"/>
        <v>Nov-1985</v>
      </c>
      <c r="F763" s="12">
        <f t="shared" si="47"/>
        <v>6.36</v>
      </c>
    </row>
    <row r="764" spans="1:6" x14ac:dyDescent="0.25">
      <c r="A764" s="1">
        <v>31359</v>
      </c>
      <c r="B764">
        <v>11.9</v>
      </c>
      <c r="C764" s="11">
        <f t="shared" si="44"/>
        <v>0.11900000000000001</v>
      </c>
      <c r="D764">
        <f t="shared" si="45"/>
        <v>1985</v>
      </c>
      <c r="E764" t="str">
        <f t="shared" si="46"/>
        <v>Nov-1985</v>
      </c>
      <c r="F764" s="12">
        <f t="shared" si="47"/>
        <v>6.36</v>
      </c>
    </row>
    <row r="765" spans="1:6" x14ac:dyDescent="0.25">
      <c r="A765" s="1">
        <v>31366</v>
      </c>
      <c r="B765">
        <v>11.79</v>
      </c>
      <c r="C765" s="11">
        <f t="shared" si="44"/>
        <v>0.11789999999999999</v>
      </c>
      <c r="D765">
        <f t="shared" si="45"/>
        <v>1985</v>
      </c>
      <c r="E765" t="str">
        <f t="shared" si="46"/>
        <v>Nov-1985</v>
      </c>
      <c r="F765" s="12">
        <f t="shared" si="47"/>
        <v>6.36</v>
      </c>
    </row>
    <row r="766" spans="1:6" x14ac:dyDescent="0.25">
      <c r="A766" s="1">
        <v>31373</v>
      </c>
      <c r="B766">
        <v>11.64</v>
      </c>
      <c r="C766" s="11">
        <f t="shared" si="44"/>
        <v>0.1164</v>
      </c>
      <c r="D766">
        <f t="shared" si="45"/>
        <v>1985</v>
      </c>
      <c r="E766" t="str">
        <f t="shared" si="46"/>
        <v>Nov-1985</v>
      </c>
      <c r="F766" s="12">
        <f t="shared" si="47"/>
        <v>6.36</v>
      </c>
    </row>
    <row r="767" spans="1:6" x14ac:dyDescent="0.25">
      <c r="A767" s="1">
        <v>31380</v>
      </c>
      <c r="B767">
        <v>11.58</v>
      </c>
      <c r="C767" s="11">
        <f t="shared" si="44"/>
        <v>0.1158</v>
      </c>
      <c r="D767">
        <f t="shared" si="45"/>
        <v>1985</v>
      </c>
      <c r="E767" t="str">
        <f t="shared" si="46"/>
        <v>Nov-1985</v>
      </c>
      <c r="F767" s="12">
        <f t="shared" si="47"/>
        <v>6.36</v>
      </c>
    </row>
    <row r="768" spans="1:6" x14ac:dyDescent="0.25">
      <c r="A768" s="1">
        <v>31387</v>
      </c>
      <c r="B768">
        <v>11.5</v>
      </c>
      <c r="C768" s="11">
        <f t="shared" si="44"/>
        <v>0.115</v>
      </c>
      <c r="D768">
        <f t="shared" si="45"/>
        <v>1985</v>
      </c>
      <c r="E768" t="str">
        <f t="shared" si="46"/>
        <v>Dec-1985</v>
      </c>
      <c r="F768" s="12">
        <f t="shared" si="47"/>
        <v>6.36</v>
      </c>
    </row>
    <row r="769" spans="1:6" x14ac:dyDescent="0.25">
      <c r="A769" s="1">
        <v>31394</v>
      </c>
      <c r="B769">
        <v>11.31</v>
      </c>
      <c r="C769" s="11">
        <f t="shared" si="44"/>
        <v>0.11310000000000001</v>
      </c>
      <c r="D769">
        <f t="shared" si="45"/>
        <v>1985</v>
      </c>
      <c r="E769" t="str">
        <f t="shared" si="46"/>
        <v>Dec-1985</v>
      </c>
      <c r="F769" s="12">
        <f t="shared" si="47"/>
        <v>6.36</v>
      </c>
    </row>
    <row r="770" spans="1:6" x14ac:dyDescent="0.25">
      <c r="A770" s="1">
        <v>31401</v>
      </c>
      <c r="B770">
        <v>11.14</v>
      </c>
      <c r="C770" s="11">
        <f t="shared" ref="C770:C833" si="48">B770/100</f>
        <v>0.1114</v>
      </c>
      <c r="D770">
        <f t="shared" ref="D770:D833" si="49">YEAR(A770)</f>
        <v>1985</v>
      </c>
      <c r="E770" t="str">
        <f t="shared" ref="E770:E833" si="50">TEXT(A770,"MMM-YYYY")</f>
        <v>Dec-1985</v>
      </c>
      <c r="F770" s="12">
        <f t="shared" ref="F770:F833" si="51">$H$2</f>
        <v>6.36</v>
      </c>
    </row>
    <row r="771" spans="1:6" x14ac:dyDescent="0.25">
      <c r="A771" s="1">
        <v>31408</v>
      </c>
      <c r="B771">
        <v>11.09</v>
      </c>
      <c r="C771" s="11">
        <f t="shared" si="48"/>
        <v>0.1109</v>
      </c>
      <c r="D771">
        <f t="shared" si="49"/>
        <v>1985</v>
      </c>
      <c r="E771" t="str">
        <f t="shared" si="50"/>
        <v>Dec-1985</v>
      </c>
      <c r="F771" s="12">
        <f t="shared" si="51"/>
        <v>6.36</v>
      </c>
    </row>
    <row r="772" spans="1:6" x14ac:dyDescent="0.25">
      <c r="A772" s="1">
        <v>31415</v>
      </c>
      <c r="B772">
        <v>10.81</v>
      </c>
      <c r="C772" s="11">
        <f t="shared" si="48"/>
        <v>0.1081</v>
      </c>
      <c r="D772">
        <f t="shared" si="49"/>
        <v>1986</v>
      </c>
      <c r="E772" t="str">
        <f t="shared" si="50"/>
        <v>Jan-1986</v>
      </c>
      <c r="F772" s="12">
        <f t="shared" si="51"/>
        <v>6.36</v>
      </c>
    </row>
    <row r="773" spans="1:6" x14ac:dyDescent="0.25">
      <c r="A773" s="1">
        <v>31422</v>
      </c>
      <c r="B773">
        <v>10.77</v>
      </c>
      <c r="C773" s="11">
        <f t="shared" si="48"/>
        <v>0.10769999999999999</v>
      </c>
      <c r="D773">
        <f t="shared" si="49"/>
        <v>1986</v>
      </c>
      <c r="E773" t="str">
        <f t="shared" si="50"/>
        <v>Jan-1986</v>
      </c>
      <c r="F773" s="12">
        <f t="shared" si="51"/>
        <v>6.36</v>
      </c>
    </row>
    <row r="774" spans="1:6" x14ac:dyDescent="0.25">
      <c r="A774" s="1">
        <v>31429</v>
      </c>
      <c r="B774">
        <v>10.99</v>
      </c>
      <c r="C774" s="11">
        <f t="shared" si="48"/>
        <v>0.1099</v>
      </c>
      <c r="D774">
        <f t="shared" si="49"/>
        <v>1986</v>
      </c>
      <c r="E774" t="str">
        <f t="shared" si="50"/>
        <v>Jan-1986</v>
      </c>
      <c r="F774" s="12">
        <f t="shared" si="51"/>
        <v>6.36</v>
      </c>
    </row>
    <row r="775" spans="1:6" x14ac:dyDescent="0.25">
      <c r="A775" s="1">
        <v>31436</v>
      </c>
      <c r="B775">
        <v>10.97</v>
      </c>
      <c r="C775" s="11">
        <f t="shared" si="48"/>
        <v>0.10970000000000001</v>
      </c>
      <c r="D775">
        <f t="shared" si="49"/>
        <v>1986</v>
      </c>
      <c r="E775" t="str">
        <f t="shared" si="50"/>
        <v>Jan-1986</v>
      </c>
      <c r="F775" s="12">
        <f t="shared" si="51"/>
        <v>6.36</v>
      </c>
    </row>
    <row r="776" spans="1:6" x14ac:dyDescent="0.25">
      <c r="A776" s="1">
        <v>31443</v>
      </c>
      <c r="B776">
        <v>10.89</v>
      </c>
      <c r="C776" s="11">
        <f t="shared" si="48"/>
        <v>0.10890000000000001</v>
      </c>
      <c r="D776">
        <f t="shared" si="49"/>
        <v>1986</v>
      </c>
      <c r="E776" t="str">
        <f t="shared" si="50"/>
        <v>Jan-1986</v>
      </c>
      <c r="F776" s="12">
        <f t="shared" si="51"/>
        <v>6.36</v>
      </c>
    </row>
    <row r="777" spans="1:6" x14ac:dyDescent="0.25">
      <c r="A777" s="1">
        <v>31450</v>
      </c>
      <c r="B777">
        <v>10.85</v>
      </c>
      <c r="C777" s="11">
        <f t="shared" si="48"/>
        <v>0.1085</v>
      </c>
      <c r="D777">
        <f t="shared" si="49"/>
        <v>1986</v>
      </c>
      <c r="E777" t="str">
        <f t="shared" si="50"/>
        <v>Feb-1986</v>
      </c>
      <c r="F777" s="12">
        <f t="shared" si="51"/>
        <v>6.36</v>
      </c>
    </row>
    <row r="778" spans="1:6" x14ac:dyDescent="0.25">
      <c r="A778" s="1">
        <v>31457</v>
      </c>
      <c r="B778">
        <v>10.8</v>
      </c>
      <c r="C778" s="11">
        <f t="shared" si="48"/>
        <v>0.10800000000000001</v>
      </c>
      <c r="D778">
        <f t="shared" si="49"/>
        <v>1986</v>
      </c>
      <c r="E778" t="str">
        <f t="shared" si="50"/>
        <v>Feb-1986</v>
      </c>
      <c r="F778" s="12">
        <f t="shared" si="51"/>
        <v>6.36</v>
      </c>
    </row>
    <row r="779" spans="1:6" x14ac:dyDescent="0.25">
      <c r="A779" s="1">
        <v>31464</v>
      </c>
      <c r="B779">
        <v>10.68</v>
      </c>
      <c r="C779" s="11">
        <f t="shared" si="48"/>
        <v>0.10679999999999999</v>
      </c>
      <c r="D779">
        <f t="shared" si="49"/>
        <v>1986</v>
      </c>
      <c r="E779" t="str">
        <f t="shared" si="50"/>
        <v>Feb-1986</v>
      </c>
      <c r="F779" s="12">
        <f t="shared" si="51"/>
        <v>6.36</v>
      </c>
    </row>
    <row r="780" spans="1:6" x14ac:dyDescent="0.25">
      <c r="A780" s="1">
        <v>31471</v>
      </c>
      <c r="B780">
        <v>10.51</v>
      </c>
      <c r="C780" s="11">
        <f t="shared" si="48"/>
        <v>0.1051</v>
      </c>
      <c r="D780">
        <f t="shared" si="49"/>
        <v>1986</v>
      </c>
      <c r="E780" t="str">
        <f t="shared" si="50"/>
        <v>Feb-1986</v>
      </c>
      <c r="F780" s="12">
        <f t="shared" si="51"/>
        <v>6.36</v>
      </c>
    </row>
    <row r="781" spans="1:6" x14ac:dyDescent="0.25">
      <c r="A781" s="1">
        <v>31478</v>
      </c>
      <c r="B781">
        <v>10.199999999999999</v>
      </c>
      <c r="C781" s="11">
        <f t="shared" si="48"/>
        <v>0.10199999999999999</v>
      </c>
      <c r="D781">
        <f t="shared" si="49"/>
        <v>1986</v>
      </c>
      <c r="E781" t="str">
        <f t="shared" si="50"/>
        <v>Mar-1986</v>
      </c>
      <c r="F781" s="12">
        <f t="shared" si="51"/>
        <v>6.36</v>
      </c>
    </row>
    <row r="782" spans="1:6" x14ac:dyDescent="0.25">
      <c r="A782" s="1">
        <v>31485</v>
      </c>
      <c r="B782">
        <v>10.01</v>
      </c>
      <c r="C782" s="11">
        <f t="shared" si="48"/>
        <v>0.10009999999999999</v>
      </c>
      <c r="D782">
        <f t="shared" si="49"/>
        <v>1986</v>
      </c>
      <c r="E782" t="str">
        <f t="shared" si="50"/>
        <v>Mar-1986</v>
      </c>
      <c r="F782" s="12">
        <f t="shared" si="51"/>
        <v>6.36</v>
      </c>
    </row>
    <row r="783" spans="1:6" x14ac:dyDescent="0.25">
      <c r="A783" s="1">
        <v>31492</v>
      </c>
      <c r="B783">
        <v>10.01</v>
      </c>
      <c r="C783" s="11">
        <f t="shared" si="48"/>
        <v>0.10009999999999999</v>
      </c>
      <c r="D783">
        <f t="shared" si="49"/>
        <v>1986</v>
      </c>
      <c r="E783" t="str">
        <f t="shared" si="50"/>
        <v>Mar-1986</v>
      </c>
      <c r="F783" s="12">
        <f t="shared" si="51"/>
        <v>6.36</v>
      </c>
    </row>
    <row r="784" spans="1:6" x14ac:dyDescent="0.25">
      <c r="A784" s="1">
        <v>31499</v>
      </c>
      <c r="B784">
        <v>10.1</v>
      </c>
      <c r="C784" s="11">
        <f t="shared" si="48"/>
        <v>0.10099999999999999</v>
      </c>
      <c r="D784">
        <f t="shared" si="49"/>
        <v>1986</v>
      </c>
      <c r="E784" t="str">
        <f t="shared" si="50"/>
        <v>Mar-1986</v>
      </c>
      <c r="F784" s="12">
        <f t="shared" si="51"/>
        <v>6.36</v>
      </c>
    </row>
    <row r="785" spans="1:6" x14ac:dyDescent="0.25">
      <c r="A785" s="1">
        <v>31506</v>
      </c>
      <c r="B785">
        <v>9.99</v>
      </c>
      <c r="C785" s="11">
        <f t="shared" si="48"/>
        <v>9.9900000000000003E-2</v>
      </c>
      <c r="D785">
        <f t="shared" si="49"/>
        <v>1986</v>
      </c>
      <c r="E785" t="str">
        <f t="shared" si="50"/>
        <v>Apr-1986</v>
      </c>
      <c r="F785" s="12">
        <f t="shared" si="51"/>
        <v>6.36</v>
      </c>
    </row>
    <row r="786" spans="1:6" x14ac:dyDescent="0.25">
      <c r="A786" s="1">
        <v>31513</v>
      </c>
      <c r="B786">
        <v>9.98</v>
      </c>
      <c r="C786" s="11">
        <f t="shared" si="48"/>
        <v>9.98E-2</v>
      </c>
      <c r="D786">
        <f t="shared" si="49"/>
        <v>1986</v>
      </c>
      <c r="E786" t="str">
        <f t="shared" si="50"/>
        <v>Apr-1986</v>
      </c>
      <c r="F786" s="12">
        <f t="shared" si="51"/>
        <v>6.36</v>
      </c>
    </row>
    <row r="787" spans="1:6" x14ac:dyDescent="0.25">
      <c r="A787" s="1">
        <v>31520</v>
      </c>
      <c r="B787">
        <v>9.92</v>
      </c>
      <c r="C787" s="11">
        <f t="shared" si="48"/>
        <v>9.9199999999999997E-2</v>
      </c>
      <c r="D787">
        <f t="shared" si="49"/>
        <v>1986</v>
      </c>
      <c r="E787" t="str">
        <f t="shared" si="50"/>
        <v>Apr-1986</v>
      </c>
      <c r="F787" s="12">
        <f t="shared" si="51"/>
        <v>6.36</v>
      </c>
    </row>
    <row r="788" spans="1:6" x14ac:dyDescent="0.25">
      <c r="A788" s="1">
        <v>31527</v>
      </c>
      <c r="B788">
        <v>9.86</v>
      </c>
      <c r="C788" s="11">
        <f t="shared" si="48"/>
        <v>9.8599999999999993E-2</v>
      </c>
      <c r="D788">
        <f t="shared" si="49"/>
        <v>1986</v>
      </c>
      <c r="E788" t="str">
        <f t="shared" si="50"/>
        <v>Apr-1986</v>
      </c>
      <c r="F788" s="12">
        <f t="shared" si="51"/>
        <v>6.36</v>
      </c>
    </row>
    <row r="789" spans="1:6" x14ac:dyDescent="0.25">
      <c r="A789" s="1">
        <v>31534</v>
      </c>
      <c r="B789">
        <v>9.9</v>
      </c>
      <c r="C789" s="11">
        <f t="shared" si="48"/>
        <v>9.9000000000000005E-2</v>
      </c>
      <c r="D789">
        <f t="shared" si="49"/>
        <v>1986</v>
      </c>
      <c r="E789" t="str">
        <f t="shared" si="50"/>
        <v>May-1986</v>
      </c>
      <c r="F789" s="12">
        <f t="shared" si="51"/>
        <v>6.36</v>
      </c>
    </row>
    <row r="790" spans="1:6" x14ac:dyDescent="0.25">
      <c r="A790" s="1">
        <v>31541</v>
      </c>
      <c r="B790">
        <v>10</v>
      </c>
      <c r="C790" s="11">
        <f t="shared" si="48"/>
        <v>0.1</v>
      </c>
      <c r="D790">
        <f t="shared" si="49"/>
        <v>1986</v>
      </c>
      <c r="E790" t="str">
        <f t="shared" si="50"/>
        <v>May-1986</v>
      </c>
      <c r="F790" s="12">
        <f t="shared" si="51"/>
        <v>6.36</v>
      </c>
    </row>
    <row r="791" spans="1:6" x14ac:dyDescent="0.25">
      <c r="A791" s="1">
        <v>31548</v>
      </c>
      <c r="B791">
        <v>10.08</v>
      </c>
      <c r="C791" s="11">
        <f t="shared" si="48"/>
        <v>0.1008</v>
      </c>
      <c r="D791">
        <f t="shared" si="49"/>
        <v>1986</v>
      </c>
      <c r="E791" t="str">
        <f t="shared" si="50"/>
        <v>May-1986</v>
      </c>
      <c r="F791" s="12">
        <f t="shared" si="51"/>
        <v>6.36</v>
      </c>
    </row>
    <row r="792" spans="1:6" x14ac:dyDescent="0.25">
      <c r="A792" s="1">
        <v>31555</v>
      </c>
      <c r="B792">
        <v>10.36</v>
      </c>
      <c r="C792" s="11">
        <f t="shared" si="48"/>
        <v>0.1036</v>
      </c>
      <c r="D792">
        <f t="shared" si="49"/>
        <v>1986</v>
      </c>
      <c r="E792" t="str">
        <f t="shared" si="50"/>
        <v>May-1986</v>
      </c>
      <c r="F792" s="12">
        <f t="shared" si="51"/>
        <v>6.36</v>
      </c>
    </row>
    <row r="793" spans="1:6" x14ac:dyDescent="0.25">
      <c r="A793" s="1">
        <v>31562</v>
      </c>
      <c r="B793">
        <v>10.38</v>
      </c>
      <c r="C793" s="11">
        <f t="shared" si="48"/>
        <v>0.1038</v>
      </c>
      <c r="D793">
        <f t="shared" si="49"/>
        <v>1986</v>
      </c>
      <c r="E793" t="str">
        <f t="shared" si="50"/>
        <v>May-1986</v>
      </c>
      <c r="F793" s="12">
        <f t="shared" si="51"/>
        <v>6.36</v>
      </c>
    </row>
    <row r="794" spans="1:6" x14ac:dyDescent="0.25">
      <c r="A794" s="1">
        <v>31569</v>
      </c>
      <c r="B794">
        <v>10.74</v>
      </c>
      <c r="C794" s="11">
        <f t="shared" si="48"/>
        <v>0.1074</v>
      </c>
      <c r="D794">
        <f t="shared" si="49"/>
        <v>1986</v>
      </c>
      <c r="E794" t="str">
        <f t="shared" si="50"/>
        <v>Jun-1986</v>
      </c>
      <c r="F794" s="12">
        <f t="shared" si="51"/>
        <v>6.36</v>
      </c>
    </row>
    <row r="795" spans="1:6" x14ac:dyDescent="0.25">
      <c r="A795" s="1">
        <v>31576</v>
      </c>
      <c r="B795">
        <v>10.76</v>
      </c>
      <c r="C795" s="11">
        <f t="shared" si="48"/>
        <v>0.1076</v>
      </c>
      <c r="D795">
        <f t="shared" si="49"/>
        <v>1986</v>
      </c>
      <c r="E795" t="str">
        <f t="shared" si="50"/>
        <v>Jun-1986</v>
      </c>
      <c r="F795" s="12">
        <f t="shared" si="51"/>
        <v>6.36</v>
      </c>
    </row>
    <row r="796" spans="1:6" x14ac:dyDescent="0.25">
      <c r="A796" s="1">
        <v>31583</v>
      </c>
      <c r="B796">
        <v>10.61</v>
      </c>
      <c r="C796" s="11">
        <f t="shared" si="48"/>
        <v>0.1061</v>
      </c>
      <c r="D796">
        <f t="shared" si="49"/>
        <v>1986</v>
      </c>
      <c r="E796" t="str">
        <f t="shared" si="50"/>
        <v>Jun-1986</v>
      </c>
      <c r="F796" s="12">
        <f t="shared" si="51"/>
        <v>6.36</v>
      </c>
    </row>
    <row r="797" spans="1:6" x14ac:dyDescent="0.25">
      <c r="A797" s="1">
        <v>31590</v>
      </c>
      <c r="B797">
        <v>10.62</v>
      </c>
      <c r="C797" s="11">
        <f t="shared" si="48"/>
        <v>0.10619999999999999</v>
      </c>
      <c r="D797">
        <f t="shared" si="49"/>
        <v>1986</v>
      </c>
      <c r="E797" t="str">
        <f t="shared" si="50"/>
        <v>Jun-1986</v>
      </c>
      <c r="F797" s="12">
        <f t="shared" si="51"/>
        <v>6.36</v>
      </c>
    </row>
    <row r="798" spans="1:6" x14ac:dyDescent="0.25">
      <c r="A798" s="1">
        <v>31597</v>
      </c>
      <c r="B798">
        <v>10.61</v>
      </c>
      <c r="C798" s="11">
        <f t="shared" si="48"/>
        <v>0.1061</v>
      </c>
      <c r="D798">
        <f t="shared" si="49"/>
        <v>1986</v>
      </c>
      <c r="E798" t="str">
        <f t="shared" si="50"/>
        <v>Jul-1986</v>
      </c>
      <c r="F798" s="12">
        <f t="shared" si="51"/>
        <v>6.36</v>
      </c>
    </row>
    <row r="799" spans="1:6" x14ac:dyDescent="0.25">
      <c r="A799" s="1">
        <v>31604</v>
      </c>
      <c r="B799">
        <v>10.59</v>
      </c>
      <c r="C799" s="11">
        <f t="shared" si="48"/>
        <v>0.10589999999999999</v>
      </c>
      <c r="D799">
        <f t="shared" si="49"/>
        <v>1986</v>
      </c>
      <c r="E799" t="str">
        <f t="shared" si="50"/>
        <v>Jul-1986</v>
      </c>
      <c r="F799" s="12">
        <f t="shared" si="51"/>
        <v>6.36</v>
      </c>
    </row>
    <row r="800" spans="1:6" x14ac:dyDescent="0.25">
      <c r="A800" s="1">
        <v>31611</v>
      </c>
      <c r="B800">
        <v>10.43</v>
      </c>
      <c r="C800" s="11">
        <f t="shared" si="48"/>
        <v>0.1043</v>
      </c>
      <c r="D800">
        <f t="shared" si="49"/>
        <v>1986</v>
      </c>
      <c r="E800" t="str">
        <f t="shared" si="50"/>
        <v>Jul-1986</v>
      </c>
      <c r="F800" s="12">
        <f t="shared" si="51"/>
        <v>6.36</v>
      </c>
    </row>
    <row r="801" spans="1:6" x14ac:dyDescent="0.25">
      <c r="A801" s="1">
        <v>31618</v>
      </c>
      <c r="B801">
        <v>10.4</v>
      </c>
      <c r="C801" s="11">
        <f t="shared" si="48"/>
        <v>0.10400000000000001</v>
      </c>
      <c r="D801">
        <f t="shared" si="49"/>
        <v>1986</v>
      </c>
      <c r="E801" t="str">
        <f t="shared" si="50"/>
        <v>Jul-1986</v>
      </c>
      <c r="F801" s="12">
        <f t="shared" si="51"/>
        <v>6.36</v>
      </c>
    </row>
    <row r="802" spans="1:6" x14ac:dyDescent="0.25">
      <c r="A802" s="1">
        <v>31625</v>
      </c>
      <c r="B802">
        <v>10.4</v>
      </c>
      <c r="C802" s="11">
        <f t="shared" si="48"/>
        <v>0.10400000000000001</v>
      </c>
      <c r="D802">
        <f t="shared" si="49"/>
        <v>1986</v>
      </c>
      <c r="E802" t="str">
        <f t="shared" si="50"/>
        <v>Aug-1986</v>
      </c>
      <c r="F802" s="12">
        <f t="shared" si="51"/>
        <v>6.36</v>
      </c>
    </row>
    <row r="803" spans="1:6" x14ac:dyDescent="0.25">
      <c r="A803" s="1">
        <v>31632</v>
      </c>
      <c r="B803">
        <v>10.4</v>
      </c>
      <c r="C803" s="11">
        <f t="shared" si="48"/>
        <v>0.10400000000000001</v>
      </c>
      <c r="D803">
        <f t="shared" si="49"/>
        <v>1986</v>
      </c>
      <c r="E803" t="str">
        <f t="shared" si="50"/>
        <v>Aug-1986</v>
      </c>
      <c r="F803" s="12">
        <f t="shared" si="51"/>
        <v>6.36</v>
      </c>
    </row>
    <row r="804" spans="1:6" x14ac:dyDescent="0.25">
      <c r="A804" s="1">
        <v>31639</v>
      </c>
      <c r="B804">
        <v>10.23</v>
      </c>
      <c r="C804" s="11">
        <f t="shared" si="48"/>
        <v>0.1023</v>
      </c>
      <c r="D804">
        <f t="shared" si="49"/>
        <v>1986</v>
      </c>
      <c r="E804" t="str">
        <f t="shared" si="50"/>
        <v>Aug-1986</v>
      </c>
      <c r="F804" s="12">
        <f t="shared" si="51"/>
        <v>6.36</v>
      </c>
    </row>
    <row r="805" spans="1:6" x14ac:dyDescent="0.25">
      <c r="A805" s="1">
        <v>31646</v>
      </c>
      <c r="B805">
        <v>10.039999999999999</v>
      </c>
      <c r="C805" s="11">
        <f t="shared" si="48"/>
        <v>0.10039999999999999</v>
      </c>
      <c r="D805">
        <f t="shared" si="49"/>
        <v>1986</v>
      </c>
      <c r="E805" t="str">
        <f t="shared" si="50"/>
        <v>Aug-1986</v>
      </c>
      <c r="F805" s="12">
        <f t="shared" si="51"/>
        <v>6.36</v>
      </c>
    </row>
    <row r="806" spans="1:6" x14ac:dyDescent="0.25">
      <c r="A806" s="1">
        <v>31653</v>
      </c>
      <c r="B806">
        <v>9.93</v>
      </c>
      <c r="C806" s="11">
        <f t="shared" si="48"/>
        <v>9.9299999999999999E-2</v>
      </c>
      <c r="D806">
        <f t="shared" si="49"/>
        <v>1986</v>
      </c>
      <c r="E806" t="str">
        <f t="shared" si="50"/>
        <v>Aug-1986</v>
      </c>
      <c r="F806" s="12">
        <f t="shared" si="51"/>
        <v>6.36</v>
      </c>
    </row>
    <row r="807" spans="1:6" x14ac:dyDescent="0.25">
      <c r="A807" s="1">
        <v>31660</v>
      </c>
      <c r="B807">
        <v>9.9</v>
      </c>
      <c r="C807" s="11">
        <f t="shared" si="48"/>
        <v>9.9000000000000005E-2</v>
      </c>
      <c r="D807">
        <f t="shared" si="49"/>
        <v>1986</v>
      </c>
      <c r="E807" t="str">
        <f t="shared" si="50"/>
        <v>Sep-1986</v>
      </c>
      <c r="F807" s="12">
        <f t="shared" si="51"/>
        <v>6.36</v>
      </c>
    </row>
    <row r="808" spans="1:6" x14ac:dyDescent="0.25">
      <c r="A808" s="1">
        <v>31667</v>
      </c>
      <c r="B808">
        <v>9.9600000000000009</v>
      </c>
      <c r="C808" s="11">
        <f t="shared" si="48"/>
        <v>9.9600000000000008E-2</v>
      </c>
      <c r="D808">
        <f t="shared" si="49"/>
        <v>1986</v>
      </c>
      <c r="E808" t="str">
        <f t="shared" si="50"/>
        <v>Sep-1986</v>
      </c>
      <c r="F808" s="12">
        <f t="shared" si="51"/>
        <v>6.36</v>
      </c>
    </row>
    <row r="809" spans="1:6" x14ac:dyDescent="0.25">
      <c r="A809" s="1">
        <v>31674</v>
      </c>
      <c r="B809">
        <v>10.07</v>
      </c>
      <c r="C809" s="11">
        <f t="shared" si="48"/>
        <v>0.1007</v>
      </c>
      <c r="D809">
        <f t="shared" si="49"/>
        <v>1986</v>
      </c>
      <c r="E809" t="str">
        <f t="shared" si="50"/>
        <v>Sep-1986</v>
      </c>
      <c r="F809" s="12">
        <f t="shared" si="51"/>
        <v>6.36</v>
      </c>
    </row>
    <row r="810" spans="1:6" x14ac:dyDescent="0.25">
      <c r="A810" s="1">
        <v>31681</v>
      </c>
      <c r="B810">
        <v>10.1</v>
      </c>
      <c r="C810" s="11">
        <f t="shared" si="48"/>
        <v>0.10099999999999999</v>
      </c>
      <c r="D810">
        <f t="shared" si="49"/>
        <v>1986</v>
      </c>
      <c r="E810" t="str">
        <f t="shared" si="50"/>
        <v>Sep-1986</v>
      </c>
      <c r="F810" s="12">
        <f t="shared" si="51"/>
        <v>6.36</v>
      </c>
    </row>
    <row r="811" spans="1:6" x14ac:dyDescent="0.25">
      <c r="A811" s="1">
        <v>31688</v>
      </c>
      <c r="B811">
        <v>10.08</v>
      </c>
      <c r="C811" s="11">
        <f t="shared" si="48"/>
        <v>0.1008</v>
      </c>
      <c r="D811">
        <f t="shared" si="49"/>
        <v>1986</v>
      </c>
      <c r="E811" t="str">
        <f t="shared" si="50"/>
        <v>Oct-1986</v>
      </c>
      <c r="F811" s="12">
        <f t="shared" si="51"/>
        <v>6.36</v>
      </c>
    </row>
    <row r="812" spans="1:6" x14ac:dyDescent="0.25">
      <c r="A812" s="1">
        <v>31695</v>
      </c>
      <c r="B812">
        <v>9.99</v>
      </c>
      <c r="C812" s="11">
        <f t="shared" si="48"/>
        <v>9.9900000000000003E-2</v>
      </c>
      <c r="D812">
        <f t="shared" si="49"/>
        <v>1986</v>
      </c>
      <c r="E812" t="str">
        <f t="shared" si="50"/>
        <v>Oct-1986</v>
      </c>
      <c r="F812" s="12">
        <f t="shared" si="51"/>
        <v>6.36</v>
      </c>
    </row>
    <row r="813" spans="1:6" x14ac:dyDescent="0.25">
      <c r="A813" s="1">
        <v>31702</v>
      </c>
      <c r="B813">
        <v>9.9600000000000009</v>
      </c>
      <c r="C813" s="11">
        <f t="shared" si="48"/>
        <v>9.9600000000000008E-2</v>
      </c>
      <c r="D813">
        <f t="shared" si="49"/>
        <v>1986</v>
      </c>
      <c r="E813" t="str">
        <f t="shared" si="50"/>
        <v>Oct-1986</v>
      </c>
      <c r="F813" s="12">
        <f t="shared" si="51"/>
        <v>6.36</v>
      </c>
    </row>
    <row r="814" spans="1:6" x14ac:dyDescent="0.25">
      <c r="A814" s="1">
        <v>31709</v>
      </c>
      <c r="B814">
        <v>9.9499999999999993</v>
      </c>
      <c r="C814" s="11">
        <f t="shared" si="48"/>
        <v>9.9499999999999991E-2</v>
      </c>
      <c r="D814">
        <f t="shared" si="49"/>
        <v>1986</v>
      </c>
      <c r="E814" t="str">
        <f t="shared" si="50"/>
        <v>Oct-1986</v>
      </c>
      <c r="F814" s="12">
        <f t="shared" si="51"/>
        <v>6.36</v>
      </c>
    </row>
    <row r="815" spans="1:6" x14ac:dyDescent="0.25">
      <c r="A815" s="1">
        <v>31716</v>
      </c>
      <c r="B815">
        <v>9.89</v>
      </c>
      <c r="C815" s="11">
        <f t="shared" si="48"/>
        <v>9.8900000000000002E-2</v>
      </c>
      <c r="D815">
        <f t="shared" si="49"/>
        <v>1986</v>
      </c>
      <c r="E815" t="str">
        <f t="shared" si="50"/>
        <v>Oct-1986</v>
      </c>
      <c r="F815" s="12">
        <f t="shared" si="51"/>
        <v>6.36</v>
      </c>
    </row>
    <row r="816" spans="1:6" x14ac:dyDescent="0.25">
      <c r="A816" s="1">
        <v>31723</v>
      </c>
      <c r="B816">
        <v>9.83</v>
      </c>
      <c r="C816" s="11">
        <f t="shared" si="48"/>
        <v>9.8299999999999998E-2</v>
      </c>
      <c r="D816">
        <f t="shared" si="49"/>
        <v>1986</v>
      </c>
      <c r="E816" t="str">
        <f t="shared" si="50"/>
        <v>Nov-1986</v>
      </c>
      <c r="F816" s="12">
        <f t="shared" si="51"/>
        <v>6.36</v>
      </c>
    </row>
    <row r="817" spans="1:6" x14ac:dyDescent="0.25">
      <c r="A817" s="1">
        <v>31730</v>
      </c>
      <c r="B817">
        <v>9.81</v>
      </c>
      <c r="C817" s="11">
        <f t="shared" si="48"/>
        <v>9.8100000000000007E-2</v>
      </c>
      <c r="D817">
        <f t="shared" si="49"/>
        <v>1986</v>
      </c>
      <c r="E817" t="str">
        <f t="shared" si="50"/>
        <v>Nov-1986</v>
      </c>
      <c r="F817" s="12">
        <f t="shared" si="51"/>
        <v>6.36</v>
      </c>
    </row>
    <row r="818" spans="1:6" x14ac:dyDescent="0.25">
      <c r="A818" s="1">
        <v>31737</v>
      </c>
      <c r="B818">
        <v>9.64</v>
      </c>
      <c r="C818" s="11">
        <f t="shared" si="48"/>
        <v>9.64E-2</v>
      </c>
      <c r="D818">
        <f t="shared" si="49"/>
        <v>1986</v>
      </c>
      <c r="E818" t="str">
        <f t="shared" si="50"/>
        <v>Nov-1986</v>
      </c>
      <c r="F818" s="12">
        <f t="shared" si="51"/>
        <v>6.36</v>
      </c>
    </row>
    <row r="819" spans="1:6" x14ac:dyDescent="0.25">
      <c r="A819" s="1">
        <v>31744</v>
      </c>
      <c r="B819">
        <v>9.5</v>
      </c>
      <c r="C819" s="11">
        <f t="shared" si="48"/>
        <v>9.5000000000000001E-2</v>
      </c>
      <c r="D819">
        <f t="shared" si="49"/>
        <v>1986</v>
      </c>
      <c r="E819" t="str">
        <f t="shared" si="50"/>
        <v>Nov-1986</v>
      </c>
      <c r="F819" s="12">
        <f t="shared" si="51"/>
        <v>6.36</v>
      </c>
    </row>
    <row r="820" spans="1:6" x14ac:dyDescent="0.25">
      <c r="A820" s="1">
        <v>31751</v>
      </c>
      <c r="B820">
        <v>9.3000000000000007</v>
      </c>
      <c r="C820" s="11">
        <f t="shared" si="48"/>
        <v>9.3000000000000013E-2</v>
      </c>
      <c r="D820">
        <f t="shared" si="49"/>
        <v>1986</v>
      </c>
      <c r="E820" t="str">
        <f t="shared" si="50"/>
        <v>Dec-1986</v>
      </c>
      <c r="F820" s="12">
        <f t="shared" si="51"/>
        <v>6.36</v>
      </c>
    </row>
    <row r="821" spans="1:6" x14ac:dyDescent="0.25">
      <c r="A821" s="1">
        <v>31758</v>
      </c>
      <c r="B821">
        <v>9.35</v>
      </c>
      <c r="C821" s="11">
        <f t="shared" si="48"/>
        <v>9.35E-2</v>
      </c>
      <c r="D821">
        <f t="shared" si="49"/>
        <v>1986</v>
      </c>
      <c r="E821" t="str">
        <f t="shared" si="50"/>
        <v>Dec-1986</v>
      </c>
      <c r="F821" s="12">
        <f t="shared" si="51"/>
        <v>6.36</v>
      </c>
    </row>
    <row r="822" spans="1:6" x14ac:dyDescent="0.25">
      <c r="A822" s="1">
        <v>31765</v>
      </c>
      <c r="B822">
        <v>9.3000000000000007</v>
      </c>
      <c r="C822" s="11">
        <f t="shared" si="48"/>
        <v>9.3000000000000013E-2</v>
      </c>
      <c r="D822">
        <f t="shared" si="49"/>
        <v>1986</v>
      </c>
      <c r="E822" t="str">
        <f t="shared" si="50"/>
        <v>Dec-1986</v>
      </c>
      <c r="F822" s="12">
        <f t="shared" si="51"/>
        <v>6.36</v>
      </c>
    </row>
    <row r="823" spans="1:6" x14ac:dyDescent="0.25">
      <c r="A823" s="1">
        <v>31772</v>
      </c>
      <c r="B823">
        <v>9.2899999999999991</v>
      </c>
      <c r="C823" s="11">
        <f t="shared" si="48"/>
        <v>9.2899999999999996E-2</v>
      </c>
      <c r="D823">
        <f t="shared" si="49"/>
        <v>1986</v>
      </c>
      <c r="E823" t="str">
        <f t="shared" si="50"/>
        <v>Dec-1986</v>
      </c>
      <c r="F823" s="12">
        <f t="shared" si="51"/>
        <v>6.36</v>
      </c>
    </row>
    <row r="824" spans="1:6" x14ac:dyDescent="0.25">
      <c r="A824" s="1">
        <v>31779</v>
      </c>
      <c r="B824">
        <v>9.3699999999999992</v>
      </c>
      <c r="C824" s="11">
        <f t="shared" si="48"/>
        <v>9.3699999999999992E-2</v>
      </c>
      <c r="D824">
        <f t="shared" si="49"/>
        <v>1987</v>
      </c>
      <c r="E824" t="str">
        <f t="shared" si="50"/>
        <v>Jan-1987</v>
      </c>
      <c r="F824" s="12">
        <f t="shared" si="51"/>
        <v>6.36</v>
      </c>
    </row>
    <row r="825" spans="1:6" x14ac:dyDescent="0.25">
      <c r="A825" s="1">
        <v>31786</v>
      </c>
      <c r="B825">
        <v>9.32</v>
      </c>
      <c r="C825" s="11">
        <f t="shared" si="48"/>
        <v>9.3200000000000005E-2</v>
      </c>
      <c r="D825">
        <f t="shared" si="49"/>
        <v>1987</v>
      </c>
      <c r="E825" t="str">
        <f t="shared" si="50"/>
        <v>Jan-1987</v>
      </c>
      <c r="F825" s="12">
        <f t="shared" si="51"/>
        <v>6.36</v>
      </c>
    </row>
    <row r="826" spans="1:6" x14ac:dyDescent="0.25">
      <c r="A826" s="1">
        <v>31793</v>
      </c>
      <c r="B826">
        <v>9.2100000000000009</v>
      </c>
      <c r="C826" s="11">
        <f t="shared" si="48"/>
        <v>9.2100000000000015E-2</v>
      </c>
      <c r="D826">
        <f t="shared" si="49"/>
        <v>1987</v>
      </c>
      <c r="E826" t="str">
        <f t="shared" si="50"/>
        <v>Jan-1987</v>
      </c>
      <c r="F826" s="12">
        <f t="shared" si="51"/>
        <v>6.36</v>
      </c>
    </row>
    <row r="827" spans="1:6" x14ac:dyDescent="0.25">
      <c r="A827" s="1">
        <v>31800</v>
      </c>
      <c r="B827">
        <v>9.0399999999999991</v>
      </c>
      <c r="C827" s="11">
        <f t="shared" si="48"/>
        <v>9.0399999999999994E-2</v>
      </c>
      <c r="D827">
        <f t="shared" si="49"/>
        <v>1987</v>
      </c>
      <c r="E827" t="str">
        <f t="shared" si="50"/>
        <v>Jan-1987</v>
      </c>
      <c r="F827" s="12">
        <f t="shared" si="51"/>
        <v>6.36</v>
      </c>
    </row>
    <row r="828" spans="1:6" x14ac:dyDescent="0.25">
      <c r="A828" s="1">
        <v>31807</v>
      </c>
      <c r="B828">
        <v>9.08</v>
      </c>
      <c r="C828" s="11">
        <f t="shared" si="48"/>
        <v>9.0800000000000006E-2</v>
      </c>
      <c r="D828">
        <f t="shared" si="49"/>
        <v>1987</v>
      </c>
      <c r="E828" t="str">
        <f t="shared" si="50"/>
        <v>Jan-1987</v>
      </c>
      <c r="F828" s="12">
        <f t="shared" si="51"/>
        <v>6.36</v>
      </c>
    </row>
    <row r="829" spans="1:6" x14ac:dyDescent="0.25">
      <c r="A829" s="1">
        <v>31814</v>
      </c>
      <c r="B829">
        <v>9.06</v>
      </c>
      <c r="C829" s="11">
        <f t="shared" si="48"/>
        <v>9.06E-2</v>
      </c>
      <c r="D829">
        <f t="shared" si="49"/>
        <v>1987</v>
      </c>
      <c r="E829" t="str">
        <f t="shared" si="50"/>
        <v>Feb-1987</v>
      </c>
      <c r="F829" s="12">
        <f t="shared" si="51"/>
        <v>6.36</v>
      </c>
    </row>
    <row r="830" spans="1:6" x14ac:dyDescent="0.25">
      <c r="A830" s="1">
        <v>31821</v>
      </c>
      <c r="B830">
        <v>9.09</v>
      </c>
      <c r="C830" s="11">
        <f t="shared" si="48"/>
        <v>9.0899999999999995E-2</v>
      </c>
      <c r="D830">
        <f t="shared" si="49"/>
        <v>1987</v>
      </c>
      <c r="E830" t="str">
        <f t="shared" si="50"/>
        <v>Feb-1987</v>
      </c>
      <c r="F830" s="12">
        <f t="shared" si="51"/>
        <v>6.36</v>
      </c>
    </row>
    <row r="831" spans="1:6" x14ac:dyDescent="0.25">
      <c r="A831" s="1">
        <v>31828</v>
      </c>
      <c r="B831">
        <v>9.11</v>
      </c>
      <c r="C831" s="11">
        <f t="shared" si="48"/>
        <v>9.11E-2</v>
      </c>
      <c r="D831">
        <f t="shared" si="49"/>
        <v>1987</v>
      </c>
      <c r="E831" t="str">
        <f t="shared" si="50"/>
        <v>Feb-1987</v>
      </c>
      <c r="F831" s="12">
        <f t="shared" si="51"/>
        <v>6.36</v>
      </c>
    </row>
    <row r="832" spans="1:6" x14ac:dyDescent="0.25">
      <c r="A832" s="1">
        <v>31835</v>
      </c>
      <c r="B832">
        <v>9.07</v>
      </c>
      <c r="C832" s="11">
        <f t="shared" si="48"/>
        <v>9.0700000000000003E-2</v>
      </c>
      <c r="D832">
        <f t="shared" si="49"/>
        <v>1987</v>
      </c>
      <c r="E832" t="str">
        <f t="shared" si="50"/>
        <v>Feb-1987</v>
      </c>
      <c r="F832" s="12">
        <f t="shared" si="51"/>
        <v>6.36</v>
      </c>
    </row>
    <row r="833" spans="1:6" x14ac:dyDescent="0.25">
      <c r="A833" s="1">
        <v>31842</v>
      </c>
      <c r="B833">
        <v>9.0299999999999994</v>
      </c>
      <c r="C833" s="11">
        <f t="shared" si="48"/>
        <v>9.0299999999999991E-2</v>
      </c>
      <c r="D833">
        <f t="shared" si="49"/>
        <v>1987</v>
      </c>
      <c r="E833" t="str">
        <f t="shared" si="50"/>
        <v>Mar-1987</v>
      </c>
      <c r="F833" s="12">
        <f t="shared" si="51"/>
        <v>6.36</v>
      </c>
    </row>
    <row r="834" spans="1:6" x14ac:dyDescent="0.25">
      <c r="A834" s="1">
        <v>31849</v>
      </c>
      <c r="B834">
        <v>9.0500000000000007</v>
      </c>
      <c r="C834" s="11">
        <f t="shared" ref="C834:C897" si="52">B834/100</f>
        <v>9.0500000000000011E-2</v>
      </c>
      <c r="D834">
        <f t="shared" ref="D834:D897" si="53">YEAR(A834)</f>
        <v>1987</v>
      </c>
      <c r="E834" t="str">
        <f t="shared" ref="E834:E897" si="54">TEXT(A834,"MMM-YYYY")</f>
        <v>Mar-1987</v>
      </c>
      <c r="F834" s="12">
        <f t="shared" ref="F834:F897" si="55">$H$2</f>
        <v>6.36</v>
      </c>
    </row>
    <row r="835" spans="1:6" x14ac:dyDescent="0.25">
      <c r="A835" s="1">
        <v>31856</v>
      </c>
      <c r="B835">
        <v>9.0299999999999994</v>
      </c>
      <c r="C835" s="11">
        <f t="shared" si="52"/>
        <v>9.0299999999999991E-2</v>
      </c>
      <c r="D835">
        <f t="shared" si="53"/>
        <v>1987</v>
      </c>
      <c r="E835" t="str">
        <f t="shared" si="54"/>
        <v>Mar-1987</v>
      </c>
      <c r="F835" s="12">
        <f t="shared" si="55"/>
        <v>6.36</v>
      </c>
    </row>
    <row r="836" spans="1:6" x14ac:dyDescent="0.25">
      <c r="A836" s="1">
        <v>31863</v>
      </c>
      <c r="B836">
        <v>9.0299999999999994</v>
      </c>
      <c r="C836" s="11">
        <f t="shared" si="52"/>
        <v>9.0299999999999991E-2</v>
      </c>
      <c r="D836">
        <f t="shared" si="53"/>
        <v>1987</v>
      </c>
      <c r="E836" t="str">
        <f t="shared" si="54"/>
        <v>Mar-1987</v>
      </c>
      <c r="F836" s="12">
        <f t="shared" si="55"/>
        <v>6.36</v>
      </c>
    </row>
    <row r="837" spans="1:6" x14ac:dyDescent="0.25">
      <c r="A837" s="1">
        <v>31870</v>
      </c>
      <c r="B837">
        <v>9.26</v>
      </c>
      <c r="C837" s="11">
        <f t="shared" si="52"/>
        <v>9.2600000000000002E-2</v>
      </c>
      <c r="D837">
        <f t="shared" si="53"/>
        <v>1987</v>
      </c>
      <c r="E837" t="str">
        <f t="shared" si="54"/>
        <v>Apr-1987</v>
      </c>
      <c r="F837" s="12">
        <f t="shared" si="55"/>
        <v>6.36</v>
      </c>
    </row>
    <row r="838" spans="1:6" x14ac:dyDescent="0.25">
      <c r="A838" s="1">
        <v>31877</v>
      </c>
      <c r="B838">
        <v>9.43</v>
      </c>
      <c r="C838" s="11">
        <f t="shared" si="52"/>
        <v>9.4299999999999995E-2</v>
      </c>
      <c r="D838">
        <f t="shared" si="53"/>
        <v>1987</v>
      </c>
      <c r="E838" t="str">
        <f t="shared" si="54"/>
        <v>Apr-1987</v>
      </c>
      <c r="F838" s="12">
        <f t="shared" si="55"/>
        <v>6.36</v>
      </c>
    </row>
    <row r="839" spans="1:6" x14ac:dyDescent="0.25">
      <c r="A839" s="1">
        <v>31884</v>
      </c>
      <c r="B839">
        <v>10.27</v>
      </c>
      <c r="C839" s="11">
        <f t="shared" si="52"/>
        <v>0.1027</v>
      </c>
      <c r="D839">
        <f t="shared" si="53"/>
        <v>1987</v>
      </c>
      <c r="E839" t="str">
        <f t="shared" si="54"/>
        <v>Apr-1987</v>
      </c>
      <c r="F839" s="12">
        <f t="shared" si="55"/>
        <v>6.36</v>
      </c>
    </row>
    <row r="840" spans="1:6" x14ac:dyDescent="0.25">
      <c r="A840" s="1">
        <v>31891</v>
      </c>
      <c r="B840">
        <v>10.37</v>
      </c>
      <c r="C840" s="11">
        <f t="shared" si="52"/>
        <v>0.10369999999999999</v>
      </c>
      <c r="D840">
        <f t="shared" si="53"/>
        <v>1987</v>
      </c>
      <c r="E840" t="str">
        <f t="shared" si="54"/>
        <v>Apr-1987</v>
      </c>
      <c r="F840" s="12">
        <f t="shared" si="55"/>
        <v>6.36</v>
      </c>
    </row>
    <row r="841" spans="1:6" x14ac:dyDescent="0.25">
      <c r="A841" s="1">
        <v>31898</v>
      </c>
      <c r="B841">
        <v>10.47</v>
      </c>
      <c r="C841" s="11">
        <f t="shared" si="52"/>
        <v>0.1047</v>
      </c>
      <c r="D841">
        <f t="shared" si="53"/>
        <v>1987</v>
      </c>
      <c r="E841" t="str">
        <f t="shared" si="54"/>
        <v>May-1987</v>
      </c>
      <c r="F841" s="12">
        <f t="shared" si="55"/>
        <v>6.36</v>
      </c>
    </row>
    <row r="842" spans="1:6" x14ac:dyDescent="0.25">
      <c r="A842" s="1">
        <v>31905</v>
      </c>
      <c r="B842">
        <v>10.52</v>
      </c>
      <c r="C842" s="11">
        <f t="shared" si="52"/>
        <v>0.1052</v>
      </c>
      <c r="D842">
        <f t="shared" si="53"/>
        <v>1987</v>
      </c>
      <c r="E842" t="str">
        <f t="shared" si="54"/>
        <v>May-1987</v>
      </c>
      <c r="F842" s="12">
        <f t="shared" si="55"/>
        <v>6.36</v>
      </c>
    </row>
    <row r="843" spans="1:6" x14ac:dyDescent="0.25">
      <c r="A843" s="1">
        <v>31912</v>
      </c>
      <c r="B843">
        <v>10.48</v>
      </c>
      <c r="C843" s="11">
        <f t="shared" si="52"/>
        <v>0.1048</v>
      </c>
      <c r="D843">
        <f t="shared" si="53"/>
        <v>1987</v>
      </c>
      <c r="E843" t="str">
        <f t="shared" si="54"/>
        <v>May-1987</v>
      </c>
      <c r="F843" s="12">
        <f t="shared" si="55"/>
        <v>6.36</v>
      </c>
    </row>
    <row r="844" spans="1:6" x14ac:dyDescent="0.25">
      <c r="A844" s="1">
        <v>31919</v>
      </c>
      <c r="B844">
        <v>10.81</v>
      </c>
      <c r="C844" s="11">
        <f t="shared" si="52"/>
        <v>0.1081</v>
      </c>
      <c r="D844">
        <f t="shared" si="53"/>
        <v>1987</v>
      </c>
      <c r="E844" t="str">
        <f t="shared" si="54"/>
        <v>May-1987</v>
      </c>
      <c r="F844" s="12">
        <f t="shared" si="55"/>
        <v>6.36</v>
      </c>
    </row>
    <row r="845" spans="1:6" x14ac:dyDescent="0.25">
      <c r="A845" s="1">
        <v>31926</v>
      </c>
      <c r="B845">
        <v>10.7</v>
      </c>
      <c r="C845" s="11">
        <f t="shared" si="52"/>
        <v>0.107</v>
      </c>
      <c r="D845">
        <f t="shared" si="53"/>
        <v>1987</v>
      </c>
      <c r="E845" t="str">
        <f t="shared" si="54"/>
        <v>May-1987</v>
      </c>
      <c r="F845" s="12">
        <f t="shared" si="55"/>
        <v>6.36</v>
      </c>
    </row>
    <row r="846" spans="1:6" x14ac:dyDescent="0.25">
      <c r="A846" s="1">
        <v>31933</v>
      </c>
      <c r="B846">
        <v>10.7</v>
      </c>
      <c r="C846" s="11">
        <f t="shared" si="52"/>
        <v>0.107</v>
      </c>
      <c r="D846">
        <f t="shared" si="53"/>
        <v>1987</v>
      </c>
      <c r="E846" t="str">
        <f t="shared" si="54"/>
        <v>Jun-1987</v>
      </c>
      <c r="F846" s="12">
        <f t="shared" si="55"/>
        <v>6.36</v>
      </c>
    </row>
    <row r="847" spans="1:6" x14ac:dyDescent="0.25">
      <c r="A847" s="1">
        <v>31940</v>
      </c>
      <c r="B847">
        <v>10.66</v>
      </c>
      <c r="C847" s="11">
        <f t="shared" si="52"/>
        <v>0.1066</v>
      </c>
      <c r="D847">
        <f t="shared" si="53"/>
        <v>1987</v>
      </c>
      <c r="E847" t="str">
        <f t="shared" si="54"/>
        <v>Jun-1987</v>
      </c>
      <c r="F847" s="12">
        <f t="shared" si="55"/>
        <v>6.36</v>
      </c>
    </row>
    <row r="848" spans="1:6" x14ac:dyDescent="0.25">
      <c r="A848" s="1">
        <v>31947</v>
      </c>
      <c r="B848">
        <v>10.44</v>
      </c>
      <c r="C848" s="11">
        <f t="shared" si="52"/>
        <v>0.10439999999999999</v>
      </c>
      <c r="D848">
        <f t="shared" si="53"/>
        <v>1987</v>
      </c>
      <c r="E848" t="str">
        <f t="shared" si="54"/>
        <v>Jun-1987</v>
      </c>
      <c r="F848" s="12">
        <f t="shared" si="55"/>
        <v>6.36</v>
      </c>
    </row>
    <row r="849" spans="1:6" x14ac:dyDescent="0.25">
      <c r="A849" s="1">
        <v>31954</v>
      </c>
      <c r="B849">
        <v>10.35</v>
      </c>
      <c r="C849" s="11">
        <f t="shared" si="52"/>
        <v>0.10349999999999999</v>
      </c>
      <c r="D849">
        <f t="shared" si="53"/>
        <v>1987</v>
      </c>
      <c r="E849" t="str">
        <f t="shared" si="54"/>
        <v>Jun-1987</v>
      </c>
      <c r="F849" s="12">
        <f t="shared" si="55"/>
        <v>6.36</v>
      </c>
    </row>
    <row r="850" spans="1:6" x14ac:dyDescent="0.25">
      <c r="A850" s="1">
        <v>31961</v>
      </c>
      <c r="B850">
        <v>10.36</v>
      </c>
      <c r="C850" s="11">
        <f t="shared" si="52"/>
        <v>0.1036</v>
      </c>
      <c r="D850">
        <f t="shared" si="53"/>
        <v>1987</v>
      </c>
      <c r="E850" t="str">
        <f t="shared" si="54"/>
        <v>Jul-1987</v>
      </c>
      <c r="F850" s="12">
        <f t="shared" si="55"/>
        <v>6.36</v>
      </c>
    </row>
    <row r="851" spans="1:6" x14ac:dyDescent="0.25">
      <c r="A851" s="1">
        <v>31968</v>
      </c>
      <c r="B851">
        <v>10.3</v>
      </c>
      <c r="C851" s="11">
        <f t="shared" si="52"/>
        <v>0.10300000000000001</v>
      </c>
      <c r="D851">
        <f t="shared" si="53"/>
        <v>1987</v>
      </c>
      <c r="E851" t="str">
        <f t="shared" si="54"/>
        <v>Jul-1987</v>
      </c>
      <c r="F851" s="12">
        <f t="shared" si="55"/>
        <v>6.36</v>
      </c>
    </row>
    <row r="852" spans="1:6" x14ac:dyDescent="0.25">
      <c r="A852" s="1">
        <v>31975</v>
      </c>
      <c r="B852">
        <v>10.23</v>
      </c>
      <c r="C852" s="11">
        <f t="shared" si="52"/>
        <v>0.1023</v>
      </c>
      <c r="D852">
        <f t="shared" si="53"/>
        <v>1987</v>
      </c>
      <c r="E852" t="str">
        <f t="shared" si="54"/>
        <v>Jul-1987</v>
      </c>
      <c r="F852" s="12">
        <f t="shared" si="55"/>
        <v>6.36</v>
      </c>
    </row>
    <row r="853" spans="1:6" x14ac:dyDescent="0.25">
      <c r="A853" s="1">
        <v>31982</v>
      </c>
      <c r="B853">
        <v>10.23</v>
      </c>
      <c r="C853" s="11">
        <f t="shared" si="52"/>
        <v>0.1023</v>
      </c>
      <c r="D853">
        <f t="shared" si="53"/>
        <v>1987</v>
      </c>
      <c r="E853" t="str">
        <f t="shared" si="54"/>
        <v>Jul-1987</v>
      </c>
      <c r="F853" s="12">
        <f t="shared" si="55"/>
        <v>6.36</v>
      </c>
    </row>
    <row r="854" spans="1:6" x14ac:dyDescent="0.25">
      <c r="A854" s="1">
        <v>31989</v>
      </c>
      <c r="B854">
        <v>10.27</v>
      </c>
      <c r="C854" s="11">
        <f t="shared" si="52"/>
        <v>0.1027</v>
      </c>
      <c r="D854">
        <f t="shared" si="53"/>
        <v>1987</v>
      </c>
      <c r="E854" t="str">
        <f t="shared" si="54"/>
        <v>Jul-1987</v>
      </c>
      <c r="F854" s="12">
        <f t="shared" si="55"/>
        <v>6.36</v>
      </c>
    </row>
    <row r="855" spans="1:6" x14ac:dyDescent="0.25">
      <c r="A855" s="1">
        <v>31996</v>
      </c>
      <c r="B855">
        <v>10.35</v>
      </c>
      <c r="C855" s="11">
        <f t="shared" si="52"/>
        <v>0.10349999999999999</v>
      </c>
      <c r="D855">
        <f t="shared" si="53"/>
        <v>1987</v>
      </c>
      <c r="E855" t="str">
        <f t="shared" si="54"/>
        <v>Aug-1987</v>
      </c>
      <c r="F855" s="12">
        <f t="shared" si="55"/>
        <v>6.36</v>
      </c>
    </row>
    <row r="856" spans="1:6" x14ac:dyDescent="0.25">
      <c r="A856" s="1">
        <v>32003</v>
      </c>
      <c r="B856">
        <v>10.34</v>
      </c>
      <c r="C856" s="11">
        <f t="shared" si="52"/>
        <v>0.10339999999999999</v>
      </c>
      <c r="D856">
        <f t="shared" si="53"/>
        <v>1987</v>
      </c>
      <c r="E856" t="str">
        <f t="shared" si="54"/>
        <v>Aug-1987</v>
      </c>
      <c r="F856" s="12">
        <f t="shared" si="55"/>
        <v>6.36</v>
      </c>
    </row>
    <row r="857" spans="1:6" x14ac:dyDescent="0.25">
      <c r="A857" s="1">
        <v>32010</v>
      </c>
      <c r="B857">
        <v>10.3</v>
      </c>
      <c r="C857" s="11">
        <f t="shared" si="52"/>
        <v>0.10300000000000001</v>
      </c>
      <c r="D857">
        <f t="shared" si="53"/>
        <v>1987</v>
      </c>
      <c r="E857" t="str">
        <f t="shared" si="54"/>
        <v>Aug-1987</v>
      </c>
      <c r="F857" s="12">
        <f t="shared" si="55"/>
        <v>6.36</v>
      </c>
    </row>
    <row r="858" spans="1:6" x14ac:dyDescent="0.25">
      <c r="A858" s="1">
        <v>32017</v>
      </c>
      <c r="B858">
        <v>10.33</v>
      </c>
      <c r="C858" s="11">
        <f t="shared" si="52"/>
        <v>0.1033</v>
      </c>
      <c r="D858">
        <f t="shared" si="53"/>
        <v>1987</v>
      </c>
      <c r="E858" t="str">
        <f t="shared" si="54"/>
        <v>Aug-1987</v>
      </c>
      <c r="F858" s="12">
        <f t="shared" si="55"/>
        <v>6.36</v>
      </c>
    </row>
    <row r="859" spans="1:6" x14ac:dyDescent="0.25">
      <c r="A859" s="1">
        <v>32024</v>
      </c>
      <c r="B859">
        <v>10.63</v>
      </c>
      <c r="C859" s="11">
        <f t="shared" si="52"/>
        <v>0.10630000000000001</v>
      </c>
      <c r="D859">
        <f t="shared" si="53"/>
        <v>1987</v>
      </c>
      <c r="E859" t="str">
        <f t="shared" si="54"/>
        <v>Sep-1987</v>
      </c>
      <c r="F859" s="12">
        <f t="shared" si="55"/>
        <v>6.36</v>
      </c>
    </row>
    <row r="860" spans="1:6" x14ac:dyDescent="0.25">
      <c r="A860" s="1">
        <v>32031</v>
      </c>
      <c r="B860">
        <v>10.91</v>
      </c>
      <c r="C860" s="11">
        <f t="shared" si="52"/>
        <v>0.1091</v>
      </c>
      <c r="D860">
        <f t="shared" si="53"/>
        <v>1987</v>
      </c>
      <c r="E860" t="str">
        <f t="shared" si="54"/>
        <v>Sep-1987</v>
      </c>
      <c r="F860" s="12">
        <f t="shared" si="55"/>
        <v>6.36</v>
      </c>
    </row>
    <row r="861" spans="1:6" x14ac:dyDescent="0.25">
      <c r="A861" s="1">
        <v>32038</v>
      </c>
      <c r="B861">
        <v>10.99</v>
      </c>
      <c r="C861" s="11">
        <f t="shared" si="52"/>
        <v>0.1099</v>
      </c>
      <c r="D861">
        <f t="shared" si="53"/>
        <v>1987</v>
      </c>
      <c r="E861" t="str">
        <f t="shared" si="54"/>
        <v>Sep-1987</v>
      </c>
      <c r="F861" s="12">
        <f t="shared" si="55"/>
        <v>6.36</v>
      </c>
    </row>
    <row r="862" spans="1:6" x14ac:dyDescent="0.25">
      <c r="A862" s="1">
        <v>32045</v>
      </c>
      <c r="B862">
        <v>11.02</v>
      </c>
      <c r="C862" s="11">
        <f t="shared" si="52"/>
        <v>0.11019999999999999</v>
      </c>
      <c r="D862">
        <f t="shared" si="53"/>
        <v>1987</v>
      </c>
      <c r="E862" t="str">
        <f t="shared" si="54"/>
        <v>Sep-1987</v>
      </c>
      <c r="F862" s="12">
        <f t="shared" si="55"/>
        <v>6.36</v>
      </c>
    </row>
    <row r="863" spans="1:6" x14ac:dyDescent="0.25">
      <c r="A863" s="1">
        <v>32052</v>
      </c>
      <c r="B863">
        <v>11.18</v>
      </c>
      <c r="C863" s="11">
        <f t="shared" si="52"/>
        <v>0.1118</v>
      </c>
      <c r="D863">
        <f t="shared" si="53"/>
        <v>1987</v>
      </c>
      <c r="E863" t="str">
        <f t="shared" si="54"/>
        <v>Oct-1987</v>
      </c>
      <c r="F863" s="12">
        <f t="shared" si="55"/>
        <v>6.36</v>
      </c>
    </row>
    <row r="864" spans="1:6" x14ac:dyDescent="0.25">
      <c r="A864" s="1">
        <v>32059</v>
      </c>
      <c r="B864">
        <v>11.21</v>
      </c>
      <c r="C864" s="11">
        <f t="shared" si="52"/>
        <v>0.11210000000000001</v>
      </c>
      <c r="D864">
        <f t="shared" si="53"/>
        <v>1987</v>
      </c>
      <c r="E864" t="str">
        <f t="shared" si="54"/>
        <v>Oct-1987</v>
      </c>
      <c r="F864" s="12">
        <f t="shared" si="55"/>
        <v>6.36</v>
      </c>
    </row>
    <row r="865" spans="1:6" x14ac:dyDescent="0.25">
      <c r="A865" s="1">
        <v>32066</v>
      </c>
      <c r="B865">
        <v>11.58</v>
      </c>
      <c r="C865" s="11">
        <f t="shared" si="52"/>
        <v>0.1158</v>
      </c>
      <c r="D865">
        <f t="shared" si="53"/>
        <v>1987</v>
      </c>
      <c r="E865" t="str">
        <f t="shared" si="54"/>
        <v>Oct-1987</v>
      </c>
      <c r="F865" s="12">
        <f t="shared" si="55"/>
        <v>6.36</v>
      </c>
    </row>
    <row r="866" spans="1:6" x14ac:dyDescent="0.25">
      <c r="A866" s="1">
        <v>32073</v>
      </c>
      <c r="B866">
        <v>11.36</v>
      </c>
      <c r="C866" s="11">
        <f t="shared" si="52"/>
        <v>0.11359999999999999</v>
      </c>
      <c r="D866">
        <f t="shared" si="53"/>
        <v>1987</v>
      </c>
      <c r="E866" t="str">
        <f t="shared" si="54"/>
        <v>Oct-1987</v>
      </c>
      <c r="F866" s="12">
        <f t="shared" si="55"/>
        <v>6.36</v>
      </c>
    </row>
    <row r="867" spans="1:6" x14ac:dyDescent="0.25">
      <c r="A867" s="1">
        <v>32080</v>
      </c>
      <c r="B867">
        <v>10.97</v>
      </c>
      <c r="C867" s="11">
        <f t="shared" si="52"/>
        <v>0.10970000000000001</v>
      </c>
      <c r="D867">
        <f t="shared" si="53"/>
        <v>1987</v>
      </c>
      <c r="E867" t="str">
        <f t="shared" si="54"/>
        <v>Oct-1987</v>
      </c>
      <c r="F867" s="12">
        <f t="shared" si="55"/>
        <v>6.36</v>
      </c>
    </row>
    <row r="868" spans="1:6" x14ac:dyDescent="0.25">
      <c r="A868" s="1">
        <v>32087</v>
      </c>
      <c r="B868">
        <v>10.79</v>
      </c>
      <c r="C868" s="11">
        <f t="shared" si="52"/>
        <v>0.1079</v>
      </c>
      <c r="D868">
        <f t="shared" si="53"/>
        <v>1987</v>
      </c>
      <c r="E868" t="str">
        <f t="shared" si="54"/>
        <v>Nov-1987</v>
      </c>
      <c r="F868" s="12">
        <f t="shared" si="55"/>
        <v>6.36</v>
      </c>
    </row>
    <row r="869" spans="1:6" x14ac:dyDescent="0.25">
      <c r="A869" s="1">
        <v>32094</v>
      </c>
      <c r="B869">
        <v>10.66</v>
      </c>
      <c r="C869" s="11">
        <f t="shared" si="52"/>
        <v>0.1066</v>
      </c>
      <c r="D869">
        <f t="shared" si="53"/>
        <v>1987</v>
      </c>
      <c r="E869" t="str">
        <f t="shared" si="54"/>
        <v>Nov-1987</v>
      </c>
      <c r="F869" s="12">
        <f t="shared" si="55"/>
        <v>6.36</v>
      </c>
    </row>
    <row r="870" spans="1:6" x14ac:dyDescent="0.25">
      <c r="A870" s="1">
        <v>32101</v>
      </c>
      <c r="B870">
        <v>10.6</v>
      </c>
      <c r="C870" s="11">
        <f t="shared" si="52"/>
        <v>0.106</v>
      </c>
      <c r="D870">
        <f t="shared" si="53"/>
        <v>1987</v>
      </c>
      <c r="E870" t="str">
        <f t="shared" si="54"/>
        <v>Nov-1987</v>
      </c>
      <c r="F870" s="12">
        <f t="shared" si="55"/>
        <v>6.36</v>
      </c>
    </row>
    <row r="871" spans="1:6" x14ac:dyDescent="0.25">
      <c r="A871" s="1">
        <v>32108</v>
      </c>
      <c r="B871">
        <v>10.55</v>
      </c>
      <c r="C871" s="11">
        <f t="shared" si="52"/>
        <v>0.10550000000000001</v>
      </c>
      <c r="D871">
        <f t="shared" si="53"/>
        <v>1987</v>
      </c>
      <c r="E871" t="str">
        <f t="shared" si="54"/>
        <v>Nov-1987</v>
      </c>
      <c r="F871" s="12">
        <f t="shared" si="55"/>
        <v>6.36</v>
      </c>
    </row>
    <row r="872" spans="1:6" x14ac:dyDescent="0.25">
      <c r="A872" s="1">
        <v>32115</v>
      </c>
      <c r="B872">
        <v>10.6</v>
      </c>
      <c r="C872" s="11">
        <f t="shared" si="52"/>
        <v>0.106</v>
      </c>
      <c r="D872">
        <f t="shared" si="53"/>
        <v>1987</v>
      </c>
      <c r="E872" t="str">
        <f t="shared" si="54"/>
        <v>Dec-1987</v>
      </c>
      <c r="F872" s="12">
        <f t="shared" si="55"/>
        <v>6.36</v>
      </c>
    </row>
    <row r="873" spans="1:6" x14ac:dyDescent="0.25">
      <c r="A873" s="1">
        <v>32122</v>
      </c>
      <c r="B873">
        <v>10.66</v>
      </c>
      <c r="C873" s="11">
        <f t="shared" si="52"/>
        <v>0.1066</v>
      </c>
      <c r="D873">
        <f t="shared" si="53"/>
        <v>1987</v>
      </c>
      <c r="E873" t="str">
        <f t="shared" si="54"/>
        <v>Dec-1987</v>
      </c>
      <c r="F873" s="12">
        <f t="shared" si="55"/>
        <v>6.36</v>
      </c>
    </row>
    <row r="874" spans="1:6" x14ac:dyDescent="0.25">
      <c r="A874" s="1">
        <v>32129</v>
      </c>
      <c r="B874">
        <v>10.69</v>
      </c>
      <c r="C874" s="11">
        <f t="shared" si="52"/>
        <v>0.1069</v>
      </c>
      <c r="D874">
        <f t="shared" si="53"/>
        <v>1987</v>
      </c>
      <c r="E874" t="str">
        <f t="shared" si="54"/>
        <v>Dec-1987</v>
      </c>
      <c r="F874" s="12">
        <f t="shared" si="55"/>
        <v>6.36</v>
      </c>
    </row>
    <row r="875" spans="1:6" x14ac:dyDescent="0.25">
      <c r="A875" s="1">
        <v>32136</v>
      </c>
      <c r="B875">
        <v>10.64</v>
      </c>
      <c r="C875" s="11">
        <f t="shared" si="52"/>
        <v>0.10640000000000001</v>
      </c>
      <c r="D875">
        <f t="shared" si="53"/>
        <v>1987</v>
      </c>
      <c r="E875" t="str">
        <f t="shared" si="54"/>
        <v>Dec-1987</v>
      </c>
      <c r="F875" s="12">
        <f t="shared" si="55"/>
        <v>6.36</v>
      </c>
    </row>
    <row r="876" spans="1:6" x14ac:dyDescent="0.25">
      <c r="A876" s="1">
        <v>32142</v>
      </c>
      <c r="B876">
        <v>10.61</v>
      </c>
      <c r="C876" s="11">
        <f t="shared" si="52"/>
        <v>0.1061</v>
      </c>
      <c r="D876">
        <f t="shared" si="53"/>
        <v>1987</v>
      </c>
      <c r="E876" t="str">
        <f t="shared" si="54"/>
        <v>Dec-1987</v>
      </c>
      <c r="F876" s="12">
        <f t="shared" si="55"/>
        <v>6.36</v>
      </c>
    </row>
    <row r="877" spans="1:6" x14ac:dyDescent="0.25">
      <c r="A877" s="1">
        <v>32150</v>
      </c>
      <c r="B877">
        <v>10.5</v>
      </c>
      <c r="C877" s="11">
        <f t="shared" si="52"/>
        <v>0.105</v>
      </c>
      <c r="D877">
        <f t="shared" si="53"/>
        <v>1988</v>
      </c>
      <c r="E877" t="str">
        <f t="shared" si="54"/>
        <v>Jan-1988</v>
      </c>
      <c r="F877" s="12">
        <f t="shared" si="55"/>
        <v>6.36</v>
      </c>
    </row>
    <row r="878" spans="1:6" x14ac:dyDescent="0.25">
      <c r="A878" s="1">
        <v>32157</v>
      </c>
      <c r="B878">
        <v>10.53</v>
      </c>
      <c r="C878" s="11">
        <f t="shared" si="52"/>
        <v>0.10529999999999999</v>
      </c>
      <c r="D878">
        <f t="shared" si="53"/>
        <v>1988</v>
      </c>
      <c r="E878" t="str">
        <f t="shared" si="54"/>
        <v>Jan-1988</v>
      </c>
      <c r="F878" s="12">
        <f t="shared" si="55"/>
        <v>6.36</v>
      </c>
    </row>
    <row r="879" spans="1:6" x14ac:dyDescent="0.25">
      <c r="A879" s="1">
        <v>32164</v>
      </c>
      <c r="B879">
        <v>10.34</v>
      </c>
      <c r="C879" s="11">
        <f t="shared" si="52"/>
        <v>0.10339999999999999</v>
      </c>
      <c r="D879">
        <f t="shared" si="53"/>
        <v>1988</v>
      </c>
      <c r="E879" t="str">
        <f t="shared" si="54"/>
        <v>Jan-1988</v>
      </c>
      <c r="F879" s="12">
        <f t="shared" si="55"/>
        <v>6.36</v>
      </c>
    </row>
    <row r="880" spans="1:6" x14ac:dyDescent="0.25">
      <c r="A880" s="1">
        <v>32171</v>
      </c>
      <c r="B880">
        <v>10.16</v>
      </c>
      <c r="C880" s="11">
        <f t="shared" si="52"/>
        <v>0.1016</v>
      </c>
      <c r="D880">
        <f t="shared" si="53"/>
        <v>1988</v>
      </c>
      <c r="E880" t="str">
        <f t="shared" si="54"/>
        <v>Jan-1988</v>
      </c>
      <c r="F880" s="12">
        <f t="shared" si="55"/>
        <v>6.36</v>
      </c>
    </row>
    <row r="881" spans="1:6" x14ac:dyDescent="0.25">
      <c r="A881" s="1">
        <v>32178</v>
      </c>
      <c r="B881">
        <v>9.94</v>
      </c>
      <c r="C881" s="11">
        <f t="shared" si="52"/>
        <v>9.9399999999999988E-2</v>
      </c>
      <c r="D881">
        <f t="shared" si="53"/>
        <v>1988</v>
      </c>
      <c r="E881" t="str">
        <f t="shared" si="54"/>
        <v>Feb-1988</v>
      </c>
      <c r="F881" s="12">
        <f t="shared" si="55"/>
        <v>6.36</v>
      </c>
    </row>
    <row r="882" spans="1:6" x14ac:dyDescent="0.25">
      <c r="A882" s="1">
        <v>32185</v>
      </c>
      <c r="B882">
        <v>9.84</v>
      </c>
      <c r="C882" s="11">
        <f t="shared" si="52"/>
        <v>9.8400000000000001E-2</v>
      </c>
      <c r="D882">
        <f t="shared" si="53"/>
        <v>1988</v>
      </c>
      <c r="E882" t="str">
        <f t="shared" si="54"/>
        <v>Feb-1988</v>
      </c>
      <c r="F882" s="12">
        <f t="shared" si="55"/>
        <v>6.36</v>
      </c>
    </row>
    <row r="883" spans="1:6" x14ac:dyDescent="0.25">
      <c r="A883" s="1">
        <v>32192</v>
      </c>
      <c r="B883">
        <v>9.92</v>
      </c>
      <c r="C883" s="11">
        <f t="shared" si="52"/>
        <v>9.9199999999999997E-2</v>
      </c>
      <c r="D883">
        <f t="shared" si="53"/>
        <v>1988</v>
      </c>
      <c r="E883" t="str">
        <f t="shared" si="54"/>
        <v>Feb-1988</v>
      </c>
      <c r="F883" s="12">
        <f t="shared" si="55"/>
        <v>6.36</v>
      </c>
    </row>
    <row r="884" spans="1:6" x14ac:dyDescent="0.25">
      <c r="A884" s="1">
        <v>32199</v>
      </c>
      <c r="B884">
        <v>9.8699999999999992</v>
      </c>
      <c r="C884" s="11">
        <f t="shared" si="52"/>
        <v>9.8699999999999996E-2</v>
      </c>
      <c r="D884">
        <f t="shared" si="53"/>
        <v>1988</v>
      </c>
      <c r="E884" t="str">
        <f t="shared" si="54"/>
        <v>Feb-1988</v>
      </c>
      <c r="F884" s="12">
        <f t="shared" si="55"/>
        <v>6.36</v>
      </c>
    </row>
    <row r="885" spans="1:6" x14ac:dyDescent="0.25">
      <c r="A885" s="1">
        <v>32206</v>
      </c>
      <c r="B885">
        <v>9.85</v>
      </c>
      <c r="C885" s="11">
        <f t="shared" si="52"/>
        <v>9.849999999999999E-2</v>
      </c>
      <c r="D885">
        <f t="shared" si="53"/>
        <v>1988</v>
      </c>
      <c r="E885" t="str">
        <f t="shared" si="54"/>
        <v>Mar-1988</v>
      </c>
      <c r="F885" s="12">
        <f t="shared" si="55"/>
        <v>6.36</v>
      </c>
    </row>
    <row r="886" spans="1:6" x14ac:dyDescent="0.25">
      <c r="A886" s="1">
        <v>32213</v>
      </c>
      <c r="B886">
        <v>9.9600000000000009</v>
      </c>
      <c r="C886" s="11">
        <f t="shared" si="52"/>
        <v>9.9600000000000008E-2</v>
      </c>
      <c r="D886">
        <f t="shared" si="53"/>
        <v>1988</v>
      </c>
      <c r="E886" t="str">
        <f t="shared" si="54"/>
        <v>Mar-1988</v>
      </c>
      <c r="F886" s="12">
        <f t="shared" si="55"/>
        <v>6.36</v>
      </c>
    </row>
    <row r="887" spans="1:6" x14ac:dyDescent="0.25">
      <c r="A887" s="1">
        <v>32220</v>
      </c>
      <c r="B887">
        <v>9.92</v>
      </c>
      <c r="C887" s="11">
        <f t="shared" si="52"/>
        <v>9.9199999999999997E-2</v>
      </c>
      <c r="D887">
        <f t="shared" si="53"/>
        <v>1988</v>
      </c>
      <c r="E887" t="str">
        <f t="shared" si="54"/>
        <v>Mar-1988</v>
      </c>
      <c r="F887" s="12">
        <f t="shared" si="55"/>
        <v>6.36</v>
      </c>
    </row>
    <row r="888" spans="1:6" x14ac:dyDescent="0.25">
      <c r="A888" s="1">
        <v>32227</v>
      </c>
      <c r="B888">
        <v>9.99</v>
      </c>
      <c r="C888" s="11">
        <f t="shared" si="52"/>
        <v>9.9900000000000003E-2</v>
      </c>
      <c r="D888">
        <f t="shared" si="53"/>
        <v>1988</v>
      </c>
      <c r="E888" t="str">
        <f t="shared" si="54"/>
        <v>Mar-1988</v>
      </c>
      <c r="F888" s="12">
        <f t="shared" si="55"/>
        <v>6.36</v>
      </c>
    </row>
    <row r="889" spans="1:6" x14ac:dyDescent="0.25">
      <c r="A889" s="1">
        <v>32234</v>
      </c>
      <c r="B889">
        <v>10.050000000000001</v>
      </c>
      <c r="C889" s="11">
        <f t="shared" si="52"/>
        <v>0.10050000000000001</v>
      </c>
      <c r="D889">
        <f t="shared" si="53"/>
        <v>1988</v>
      </c>
      <c r="E889" t="str">
        <f t="shared" si="54"/>
        <v>Apr-1988</v>
      </c>
      <c r="F889" s="12">
        <f t="shared" si="55"/>
        <v>6.36</v>
      </c>
    </row>
    <row r="890" spans="1:6" x14ac:dyDescent="0.25">
      <c r="A890" s="1">
        <v>32241</v>
      </c>
      <c r="B890">
        <v>10.19</v>
      </c>
      <c r="C890" s="11">
        <f t="shared" si="52"/>
        <v>0.10189999999999999</v>
      </c>
      <c r="D890">
        <f t="shared" si="53"/>
        <v>1988</v>
      </c>
      <c r="E890" t="str">
        <f t="shared" si="54"/>
        <v>Apr-1988</v>
      </c>
      <c r="F890" s="12">
        <f t="shared" si="55"/>
        <v>6.36</v>
      </c>
    </row>
    <row r="891" spans="1:6" x14ac:dyDescent="0.25">
      <c r="A891" s="1">
        <v>32248</v>
      </c>
      <c r="B891">
        <v>10.19</v>
      </c>
      <c r="C891" s="11">
        <f t="shared" si="52"/>
        <v>0.10189999999999999</v>
      </c>
      <c r="D891">
        <f t="shared" si="53"/>
        <v>1988</v>
      </c>
      <c r="E891" t="str">
        <f t="shared" si="54"/>
        <v>Apr-1988</v>
      </c>
      <c r="F891" s="12">
        <f t="shared" si="55"/>
        <v>6.36</v>
      </c>
    </row>
    <row r="892" spans="1:6" x14ac:dyDescent="0.25">
      <c r="A892" s="1">
        <v>32255</v>
      </c>
      <c r="B892">
        <v>10.3</v>
      </c>
      <c r="C892" s="11">
        <f t="shared" si="52"/>
        <v>0.10300000000000001</v>
      </c>
      <c r="D892">
        <f t="shared" si="53"/>
        <v>1988</v>
      </c>
      <c r="E892" t="str">
        <f t="shared" si="54"/>
        <v>Apr-1988</v>
      </c>
      <c r="F892" s="12">
        <f t="shared" si="55"/>
        <v>6.36</v>
      </c>
    </row>
    <row r="893" spans="1:6" x14ac:dyDescent="0.25">
      <c r="A893" s="1">
        <v>32262</v>
      </c>
      <c r="B893">
        <v>10.28</v>
      </c>
      <c r="C893" s="11">
        <f t="shared" si="52"/>
        <v>0.10279999999999999</v>
      </c>
      <c r="D893">
        <f t="shared" si="53"/>
        <v>1988</v>
      </c>
      <c r="E893" t="str">
        <f t="shared" si="54"/>
        <v>Apr-1988</v>
      </c>
      <c r="F893" s="12">
        <f t="shared" si="55"/>
        <v>6.36</v>
      </c>
    </row>
    <row r="894" spans="1:6" x14ac:dyDescent="0.25">
      <c r="A894" s="1">
        <v>32269</v>
      </c>
      <c r="B894">
        <v>10.32</v>
      </c>
      <c r="C894" s="11">
        <f t="shared" si="52"/>
        <v>0.1032</v>
      </c>
      <c r="D894">
        <f t="shared" si="53"/>
        <v>1988</v>
      </c>
      <c r="E894" t="str">
        <f t="shared" si="54"/>
        <v>May-1988</v>
      </c>
      <c r="F894" s="12">
        <f t="shared" si="55"/>
        <v>6.36</v>
      </c>
    </row>
    <row r="895" spans="1:6" x14ac:dyDescent="0.25">
      <c r="A895" s="1">
        <v>32276</v>
      </c>
      <c r="B895">
        <v>10.4</v>
      </c>
      <c r="C895" s="11">
        <f t="shared" si="52"/>
        <v>0.10400000000000001</v>
      </c>
      <c r="D895">
        <f t="shared" si="53"/>
        <v>1988</v>
      </c>
      <c r="E895" t="str">
        <f t="shared" si="54"/>
        <v>May-1988</v>
      </c>
      <c r="F895" s="12">
        <f t="shared" si="55"/>
        <v>6.36</v>
      </c>
    </row>
    <row r="896" spans="1:6" x14ac:dyDescent="0.25">
      <c r="A896" s="1">
        <v>32283</v>
      </c>
      <c r="B896">
        <v>10.52</v>
      </c>
      <c r="C896" s="11">
        <f t="shared" si="52"/>
        <v>0.1052</v>
      </c>
      <c r="D896">
        <f t="shared" si="53"/>
        <v>1988</v>
      </c>
      <c r="E896" t="str">
        <f t="shared" si="54"/>
        <v>May-1988</v>
      </c>
      <c r="F896" s="12">
        <f t="shared" si="55"/>
        <v>6.36</v>
      </c>
    </row>
    <row r="897" spans="1:6" x14ac:dyDescent="0.25">
      <c r="A897" s="1">
        <v>32290</v>
      </c>
      <c r="B897">
        <v>10.58</v>
      </c>
      <c r="C897" s="11">
        <f t="shared" si="52"/>
        <v>0.10580000000000001</v>
      </c>
      <c r="D897">
        <f t="shared" si="53"/>
        <v>1988</v>
      </c>
      <c r="E897" t="str">
        <f t="shared" si="54"/>
        <v>May-1988</v>
      </c>
      <c r="F897" s="12">
        <f t="shared" si="55"/>
        <v>6.36</v>
      </c>
    </row>
    <row r="898" spans="1:6" x14ac:dyDescent="0.25">
      <c r="A898" s="1">
        <v>32297</v>
      </c>
      <c r="B898">
        <v>10.58</v>
      </c>
      <c r="C898" s="11">
        <f t="shared" ref="C898:C961" si="56">B898/100</f>
        <v>0.10580000000000001</v>
      </c>
      <c r="D898">
        <f t="shared" ref="D898:D961" si="57">YEAR(A898)</f>
        <v>1988</v>
      </c>
      <c r="E898" t="str">
        <f t="shared" ref="E898:E961" si="58">TEXT(A898,"MMM-YYYY")</f>
        <v>Jun-1988</v>
      </c>
      <c r="F898" s="12">
        <f t="shared" ref="F898:F961" si="59">$H$2</f>
        <v>6.36</v>
      </c>
    </row>
    <row r="899" spans="1:6" x14ac:dyDescent="0.25">
      <c r="A899" s="1">
        <v>32304</v>
      </c>
      <c r="B899">
        <v>10.51</v>
      </c>
      <c r="C899" s="11">
        <f t="shared" si="56"/>
        <v>0.1051</v>
      </c>
      <c r="D899">
        <f t="shared" si="57"/>
        <v>1988</v>
      </c>
      <c r="E899" t="str">
        <f t="shared" si="58"/>
        <v>Jun-1988</v>
      </c>
      <c r="F899" s="12">
        <f t="shared" si="59"/>
        <v>6.36</v>
      </c>
    </row>
    <row r="900" spans="1:6" x14ac:dyDescent="0.25">
      <c r="A900" s="1">
        <v>32311</v>
      </c>
      <c r="B900">
        <v>10.35</v>
      </c>
      <c r="C900" s="11">
        <f t="shared" si="56"/>
        <v>0.10349999999999999</v>
      </c>
      <c r="D900">
        <f t="shared" si="57"/>
        <v>1988</v>
      </c>
      <c r="E900" t="str">
        <f t="shared" si="58"/>
        <v>Jun-1988</v>
      </c>
      <c r="F900" s="12">
        <f t="shared" si="59"/>
        <v>6.36</v>
      </c>
    </row>
    <row r="901" spans="1:6" x14ac:dyDescent="0.25">
      <c r="A901" s="1">
        <v>32318</v>
      </c>
      <c r="B901">
        <v>10.4</v>
      </c>
      <c r="C901" s="11">
        <f t="shared" si="56"/>
        <v>0.10400000000000001</v>
      </c>
      <c r="D901">
        <f t="shared" si="57"/>
        <v>1988</v>
      </c>
      <c r="E901" t="str">
        <f t="shared" si="58"/>
        <v>Jun-1988</v>
      </c>
      <c r="F901" s="12">
        <f t="shared" si="59"/>
        <v>6.36</v>
      </c>
    </row>
    <row r="902" spans="1:6" x14ac:dyDescent="0.25">
      <c r="A902" s="1">
        <v>32325</v>
      </c>
      <c r="B902">
        <v>10.39</v>
      </c>
      <c r="C902" s="11">
        <f t="shared" si="56"/>
        <v>0.10390000000000001</v>
      </c>
      <c r="D902">
        <f t="shared" si="57"/>
        <v>1988</v>
      </c>
      <c r="E902" t="str">
        <f t="shared" si="58"/>
        <v>Jul-1988</v>
      </c>
      <c r="F902" s="12">
        <f t="shared" si="59"/>
        <v>6.36</v>
      </c>
    </row>
    <row r="903" spans="1:6" x14ac:dyDescent="0.25">
      <c r="A903" s="1">
        <v>32332</v>
      </c>
      <c r="B903">
        <v>10.38</v>
      </c>
      <c r="C903" s="11">
        <f t="shared" si="56"/>
        <v>0.1038</v>
      </c>
      <c r="D903">
        <f t="shared" si="57"/>
        <v>1988</v>
      </c>
      <c r="E903" t="str">
        <f t="shared" si="58"/>
        <v>Jul-1988</v>
      </c>
      <c r="F903" s="12">
        <f t="shared" si="59"/>
        <v>6.36</v>
      </c>
    </row>
    <row r="904" spans="1:6" x14ac:dyDescent="0.25">
      <c r="A904" s="1">
        <v>32339</v>
      </c>
      <c r="B904">
        <v>10.44</v>
      </c>
      <c r="C904" s="11">
        <f t="shared" si="56"/>
        <v>0.10439999999999999</v>
      </c>
      <c r="D904">
        <f t="shared" si="57"/>
        <v>1988</v>
      </c>
      <c r="E904" t="str">
        <f t="shared" si="58"/>
        <v>Jul-1988</v>
      </c>
      <c r="F904" s="12">
        <f t="shared" si="59"/>
        <v>6.36</v>
      </c>
    </row>
    <row r="905" spans="1:6" x14ac:dyDescent="0.25">
      <c r="A905" s="1">
        <v>32346</v>
      </c>
      <c r="B905">
        <v>10.46</v>
      </c>
      <c r="C905" s="11">
        <f t="shared" si="56"/>
        <v>0.10460000000000001</v>
      </c>
      <c r="D905">
        <f t="shared" si="57"/>
        <v>1988</v>
      </c>
      <c r="E905" t="str">
        <f t="shared" si="58"/>
        <v>Jul-1988</v>
      </c>
      <c r="F905" s="12">
        <f t="shared" si="59"/>
        <v>6.36</v>
      </c>
    </row>
    <row r="906" spans="1:6" x14ac:dyDescent="0.25">
      <c r="A906" s="1">
        <v>32353</v>
      </c>
      <c r="B906">
        <v>10.49</v>
      </c>
      <c r="C906" s="11">
        <f t="shared" si="56"/>
        <v>0.10490000000000001</v>
      </c>
      <c r="D906">
        <f t="shared" si="57"/>
        <v>1988</v>
      </c>
      <c r="E906" t="str">
        <f t="shared" si="58"/>
        <v>Jul-1988</v>
      </c>
      <c r="F906" s="12">
        <f t="shared" si="59"/>
        <v>6.36</v>
      </c>
    </row>
    <row r="907" spans="1:6" x14ac:dyDescent="0.25">
      <c r="A907" s="1">
        <v>32360</v>
      </c>
      <c r="B907">
        <v>10.44</v>
      </c>
      <c r="C907" s="11">
        <f t="shared" si="56"/>
        <v>0.10439999999999999</v>
      </c>
      <c r="D907">
        <f t="shared" si="57"/>
        <v>1988</v>
      </c>
      <c r="E907" t="str">
        <f t="shared" si="58"/>
        <v>Aug-1988</v>
      </c>
      <c r="F907" s="12">
        <f t="shared" si="59"/>
        <v>6.36</v>
      </c>
    </row>
    <row r="908" spans="1:6" x14ac:dyDescent="0.25">
      <c r="A908" s="1">
        <v>32367</v>
      </c>
      <c r="B908">
        <v>10.57</v>
      </c>
      <c r="C908" s="11">
        <f t="shared" si="56"/>
        <v>0.1057</v>
      </c>
      <c r="D908">
        <f t="shared" si="57"/>
        <v>1988</v>
      </c>
      <c r="E908" t="str">
        <f t="shared" si="58"/>
        <v>Aug-1988</v>
      </c>
      <c r="F908" s="12">
        <f t="shared" si="59"/>
        <v>6.36</v>
      </c>
    </row>
    <row r="909" spans="1:6" x14ac:dyDescent="0.25">
      <c r="A909" s="1">
        <v>32374</v>
      </c>
      <c r="B909">
        <v>10.71</v>
      </c>
      <c r="C909" s="11">
        <f t="shared" si="56"/>
        <v>0.10710000000000001</v>
      </c>
      <c r="D909">
        <f t="shared" si="57"/>
        <v>1988</v>
      </c>
      <c r="E909" t="str">
        <f t="shared" si="58"/>
        <v>Aug-1988</v>
      </c>
      <c r="F909" s="12">
        <f t="shared" si="59"/>
        <v>6.36</v>
      </c>
    </row>
    <row r="910" spans="1:6" x14ac:dyDescent="0.25">
      <c r="A910" s="1">
        <v>32381</v>
      </c>
      <c r="B910">
        <v>10.67</v>
      </c>
      <c r="C910" s="11">
        <f t="shared" si="56"/>
        <v>0.1067</v>
      </c>
      <c r="D910">
        <f t="shared" si="57"/>
        <v>1988</v>
      </c>
      <c r="E910" t="str">
        <f t="shared" si="58"/>
        <v>Aug-1988</v>
      </c>
      <c r="F910" s="12">
        <f t="shared" si="59"/>
        <v>6.36</v>
      </c>
    </row>
    <row r="911" spans="1:6" x14ac:dyDescent="0.25">
      <c r="A911" s="1">
        <v>32388</v>
      </c>
      <c r="B911">
        <v>10.65</v>
      </c>
      <c r="C911" s="11">
        <f t="shared" si="56"/>
        <v>0.1065</v>
      </c>
      <c r="D911">
        <f t="shared" si="57"/>
        <v>1988</v>
      </c>
      <c r="E911" t="str">
        <f t="shared" si="58"/>
        <v>Sep-1988</v>
      </c>
      <c r="F911" s="12">
        <f t="shared" si="59"/>
        <v>6.36</v>
      </c>
    </row>
    <row r="912" spans="1:6" x14ac:dyDescent="0.25">
      <c r="A912" s="1">
        <v>32395</v>
      </c>
      <c r="B912">
        <v>10.53</v>
      </c>
      <c r="C912" s="11">
        <f t="shared" si="56"/>
        <v>0.10529999999999999</v>
      </c>
      <c r="D912">
        <f t="shared" si="57"/>
        <v>1988</v>
      </c>
      <c r="E912" t="str">
        <f t="shared" si="58"/>
        <v>Sep-1988</v>
      </c>
      <c r="F912" s="12">
        <f t="shared" si="59"/>
        <v>6.36</v>
      </c>
    </row>
    <row r="913" spans="1:6" x14ac:dyDescent="0.25">
      <c r="A913" s="1">
        <v>32402</v>
      </c>
      <c r="B913">
        <v>10.4</v>
      </c>
      <c r="C913" s="11">
        <f t="shared" si="56"/>
        <v>0.10400000000000001</v>
      </c>
      <c r="D913">
        <f t="shared" si="57"/>
        <v>1988</v>
      </c>
      <c r="E913" t="str">
        <f t="shared" si="58"/>
        <v>Sep-1988</v>
      </c>
      <c r="F913" s="12">
        <f t="shared" si="59"/>
        <v>6.36</v>
      </c>
    </row>
    <row r="914" spans="1:6" x14ac:dyDescent="0.25">
      <c r="A914" s="1">
        <v>32409</v>
      </c>
      <c r="B914">
        <v>10.4</v>
      </c>
      <c r="C914" s="11">
        <f t="shared" si="56"/>
        <v>0.10400000000000001</v>
      </c>
      <c r="D914">
        <f t="shared" si="57"/>
        <v>1988</v>
      </c>
      <c r="E914" t="str">
        <f t="shared" si="58"/>
        <v>Sep-1988</v>
      </c>
      <c r="F914" s="12">
        <f t="shared" si="59"/>
        <v>6.36</v>
      </c>
    </row>
    <row r="915" spans="1:6" x14ac:dyDescent="0.25">
      <c r="A915" s="1">
        <v>32416</v>
      </c>
      <c r="B915">
        <v>10.42</v>
      </c>
      <c r="C915" s="11">
        <f t="shared" si="56"/>
        <v>0.1042</v>
      </c>
      <c r="D915">
        <f t="shared" si="57"/>
        <v>1988</v>
      </c>
      <c r="E915" t="str">
        <f t="shared" si="58"/>
        <v>Sep-1988</v>
      </c>
      <c r="F915" s="12">
        <f t="shared" si="59"/>
        <v>6.36</v>
      </c>
    </row>
    <row r="916" spans="1:6" x14ac:dyDescent="0.25">
      <c r="A916" s="1">
        <v>32423</v>
      </c>
      <c r="B916">
        <v>10.38</v>
      </c>
      <c r="C916" s="11">
        <f t="shared" si="56"/>
        <v>0.1038</v>
      </c>
      <c r="D916">
        <f t="shared" si="57"/>
        <v>1988</v>
      </c>
      <c r="E916" t="str">
        <f t="shared" si="58"/>
        <v>Oct-1988</v>
      </c>
      <c r="F916" s="12">
        <f t="shared" si="59"/>
        <v>6.36</v>
      </c>
    </row>
    <row r="917" spans="1:6" x14ac:dyDescent="0.25">
      <c r="A917" s="1">
        <v>32430</v>
      </c>
      <c r="B917">
        <v>10.33</v>
      </c>
      <c r="C917" s="11">
        <f t="shared" si="56"/>
        <v>0.1033</v>
      </c>
      <c r="D917">
        <f t="shared" si="57"/>
        <v>1988</v>
      </c>
      <c r="E917" t="str">
        <f t="shared" si="58"/>
        <v>Oct-1988</v>
      </c>
      <c r="F917" s="12">
        <f t="shared" si="59"/>
        <v>6.36</v>
      </c>
    </row>
    <row r="918" spans="1:6" x14ac:dyDescent="0.25">
      <c r="A918" s="1">
        <v>32437</v>
      </c>
      <c r="B918">
        <v>10.28</v>
      </c>
      <c r="C918" s="11">
        <f t="shared" si="56"/>
        <v>0.10279999999999999</v>
      </c>
      <c r="D918">
        <f t="shared" si="57"/>
        <v>1988</v>
      </c>
      <c r="E918" t="str">
        <f t="shared" si="58"/>
        <v>Oct-1988</v>
      </c>
      <c r="F918" s="12">
        <f t="shared" si="59"/>
        <v>6.36</v>
      </c>
    </row>
    <row r="919" spans="1:6" x14ac:dyDescent="0.25">
      <c r="A919" s="1">
        <v>32444</v>
      </c>
      <c r="B919">
        <v>10.220000000000001</v>
      </c>
      <c r="C919" s="11">
        <f t="shared" si="56"/>
        <v>0.10220000000000001</v>
      </c>
      <c r="D919">
        <f t="shared" si="57"/>
        <v>1988</v>
      </c>
      <c r="E919" t="str">
        <f t="shared" si="58"/>
        <v>Oct-1988</v>
      </c>
      <c r="F919" s="12">
        <f t="shared" si="59"/>
        <v>6.36</v>
      </c>
    </row>
    <row r="920" spans="1:6" x14ac:dyDescent="0.25">
      <c r="A920" s="1">
        <v>32451</v>
      </c>
      <c r="B920">
        <v>10.119999999999999</v>
      </c>
      <c r="C920" s="11">
        <f t="shared" si="56"/>
        <v>0.1012</v>
      </c>
      <c r="D920">
        <f t="shared" si="57"/>
        <v>1988</v>
      </c>
      <c r="E920" t="str">
        <f t="shared" si="58"/>
        <v>Nov-1988</v>
      </c>
      <c r="F920" s="12">
        <f t="shared" si="59"/>
        <v>6.36</v>
      </c>
    </row>
    <row r="921" spans="1:6" x14ac:dyDescent="0.25">
      <c r="A921" s="1">
        <v>32458</v>
      </c>
      <c r="B921">
        <v>10.24</v>
      </c>
      <c r="C921" s="11">
        <f t="shared" si="56"/>
        <v>0.1024</v>
      </c>
      <c r="D921">
        <f t="shared" si="57"/>
        <v>1988</v>
      </c>
      <c r="E921" t="str">
        <f t="shared" si="58"/>
        <v>Nov-1988</v>
      </c>
      <c r="F921" s="12">
        <f t="shared" si="59"/>
        <v>6.36</v>
      </c>
    </row>
    <row r="922" spans="1:6" x14ac:dyDescent="0.25">
      <c r="A922" s="1">
        <v>32465</v>
      </c>
      <c r="B922">
        <v>10.31</v>
      </c>
      <c r="C922" s="11">
        <f t="shared" si="56"/>
        <v>0.10310000000000001</v>
      </c>
      <c r="D922">
        <f t="shared" si="57"/>
        <v>1988</v>
      </c>
      <c r="E922" t="str">
        <f t="shared" si="58"/>
        <v>Nov-1988</v>
      </c>
      <c r="F922" s="12">
        <f t="shared" si="59"/>
        <v>6.36</v>
      </c>
    </row>
    <row r="923" spans="1:6" x14ac:dyDescent="0.25">
      <c r="A923" s="1">
        <v>32472</v>
      </c>
      <c r="B923">
        <v>10.39</v>
      </c>
      <c r="C923" s="11">
        <f t="shared" si="56"/>
        <v>0.10390000000000001</v>
      </c>
      <c r="D923">
        <f t="shared" si="57"/>
        <v>1988</v>
      </c>
      <c r="E923" t="str">
        <f t="shared" si="58"/>
        <v>Nov-1988</v>
      </c>
      <c r="F923" s="12">
        <f t="shared" si="59"/>
        <v>6.36</v>
      </c>
    </row>
    <row r="924" spans="1:6" x14ac:dyDescent="0.25">
      <c r="A924" s="1">
        <v>32479</v>
      </c>
      <c r="B924">
        <v>10.44</v>
      </c>
      <c r="C924" s="11">
        <f t="shared" si="56"/>
        <v>0.10439999999999999</v>
      </c>
      <c r="D924">
        <f t="shared" si="57"/>
        <v>1988</v>
      </c>
      <c r="E924" t="str">
        <f t="shared" si="58"/>
        <v>Dec-1988</v>
      </c>
      <c r="F924" s="12">
        <f t="shared" si="59"/>
        <v>6.36</v>
      </c>
    </row>
    <row r="925" spans="1:6" x14ac:dyDescent="0.25">
      <c r="A925" s="1">
        <v>32486</v>
      </c>
      <c r="B925">
        <v>10.46</v>
      </c>
      <c r="C925" s="11">
        <f t="shared" si="56"/>
        <v>0.10460000000000001</v>
      </c>
      <c r="D925">
        <f t="shared" si="57"/>
        <v>1988</v>
      </c>
      <c r="E925" t="str">
        <f t="shared" si="58"/>
        <v>Dec-1988</v>
      </c>
      <c r="F925" s="12">
        <f t="shared" si="59"/>
        <v>6.36</v>
      </c>
    </row>
    <row r="926" spans="1:6" x14ac:dyDescent="0.25">
      <c r="A926" s="1">
        <v>32493</v>
      </c>
      <c r="B926">
        <v>10.71</v>
      </c>
      <c r="C926" s="11">
        <f t="shared" si="56"/>
        <v>0.10710000000000001</v>
      </c>
      <c r="D926">
        <f t="shared" si="57"/>
        <v>1988</v>
      </c>
      <c r="E926" t="str">
        <f t="shared" si="58"/>
        <v>Dec-1988</v>
      </c>
      <c r="F926" s="12">
        <f t="shared" si="59"/>
        <v>6.36</v>
      </c>
    </row>
    <row r="927" spans="1:6" x14ac:dyDescent="0.25">
      <c r="A927" s="1">
        <v>32500</v>
      </c>
      <c r="B927">
        <v>10.68</v>
      </c>
      <c r="C927" s="11">
        <f t="shared" si="56"/>
        <v>0.10679999999999999</v>
      </c>
      <c r="D927">
        <f t="shared" si="57"/>
        <v>1988</v>
      </c>
      <c r="E927" t="str">
        <f t="shared" si="58"/>
        <v>Dec-1988</v>
      </c>
      <c r="F927" s="12">
        <f t="shared" si="59"/>
        <v>6.36</v>
      </c>
    </row>
    <row r="928" spans="1:6" x14ac:dyDescent="0.25">
      <c r="A928" s="1">
        <v>32507</v>
      </c>
      <c r="B928">
        <v>10.77</v>
      </c>
      <c r="C928" s="11">
        <f t="shared" si="56"/>
        <v>0.10769999999999999</v>
      </c>
      <c r="D928">
        <f t="shared" si="57"/>
        <v>1988</v>
      </c>
      <c r="E928" t="str">
        <f t="shared" si="58"/>
        <v>Dec-1988</v>
      </c>
      <c r="F928" s="12">
        <f t="shared" si="59"/>
        <v>6.36</v>
      </c>
    </row>
    <row r="929" spans="1:6" x14ac:dyDescent="0.25">
      <c r="A929" s="1">
        <v>32514</v>
      </c>
      <c r="B929">
        <v>10.8</v>
      </c>
      <c r="C929" s="11">
        <f t="shared" si="56"/>
        <v>0.10800000000000001</v>
      </c>
      <c r="D929">
        <f t="shared" si="57"/>
        <v>1989</v>
      </c>
      <c r="E929" t="str">
        <f t="shared" si="58"/>
        <v>Jan-1989</v>
      </c>
      <c r="F929" s="12">
        <f t="shared" si="59"/>
        <v>6.36</v>
      </c>
    </row>
    <row r="930" spans="1:6" x14ac:dyDescent="0.25">
      <c r="A930" s="1">
        <v>32521</v>
      </c>
      <c r="B930">
        <v>10.81</v>
      </c>
      <c r="C930" s="11">
        <f t="shared" si="56"/>
        <v>0.1081</v>
      </c>
      <c r="D930">
        <f t="shared" si="57"/>
        <v>1989</v>
      </c>
      <c r="E930" t="str">
        <f t="shared" si="58"/>
        <v>Jan-1989</v>
      </c>
      <c r="F930" s="12">
        <f t="shared" si="59"/>
        <v>6.36</v>
      </c>
    </row>
    <row r="931" spans="1:6" x14ac:dyDescent="0.25">
      <c r="A931" s="1">
        <v>32528</v>
      </c>
      <c r="B931">
        <v>10.71</v>
      </c>
      <c r="C931" s="11">
        <f t="shared" si="56"/>
        <v>0.10710000000000001</v>
      </c>
      <c r="D931">
        <f t="shared" si="57"/>
        <v>1989</v>
      </c>
      <c r="E931" t="str">
        <f t="shared" si="58"/>
        <v>Jan-1989</v>
      </c>
      <c r="F931" s="12">
        <f t="shared" si="59"/>
        <v>6.36</v>
      </c>
    </row>
    <row r="932" spans="1:6" x14ac:dyDescent="0.25">
      <c r="A932" s="1">
        <v>32535</v>
      </c>
      <c r="B932">
        <v>10.6</v>
      </c>
      <c r="C932" s="11">
        <f t="shared" si="56"/>
        <v>0.106</v>
      </c>
      <c r="D932">
        <f t="shared" si="57"/>
        <v>1989</v>
      </c>
      <c r="E932" t="str">
        <f t="shared" si="58"/>
        <v>Jan-1989</v>
      </c>
      <c r="F932" s="12">
        <f t="shared" si="59"/>
        <v>6.36</v>
      </c>
    </row>
    <row r="933" spans="1:6" x14ac:dyDescent="0.25">
      <c r="A933" s="1">
        <v>32542</v>
      </c>
      <c r="B933">
        <v>10.55</v>
      </c>
      <c r="C933" s="11">
        <f t="shared" si="56"/>
        <v>0.10550000000000001</v>
      </c>
      <c r="D933">
        <f t="shared" si="57"/>
        <v>1989</v>
      </c>
      <c r="E933" t="str">
        <f t="shared" si="58"/>
        <v>Feb-1989</v>
      </c>
      <c r="F933" s="12">
        <f t="shared" si="59"/>
        <v>6.36</v>
      </c>
    </row>
    <row r="934" spans="1:6" x14ac:dyDescent="0.25">
      <c r="A934" s="1">
        <v>32549</v>
      </c>
      <c r="B934">
        <v>10.56</v>
      </c>
      <c r="C934" s="11">
        <f t="shared" si="56"/>
        <v>0.1056</v>
      </c>
      <c r="D934">
        <f t="shared" si="57"/>
        <v>1989</v>
      </c>
      <c r="E934" t="str">
        <f t="shared" si="58"/>
        <v>Feb-1989</v>
      </c>
      <c r="F934" s="12">
        <f t="shared" si="59"/>
        <v>6.36</v>
      </c>
    </row>
    <row r="935" spans="1:6" x14ac:dyDescent="0.25">
      <c r="A935" s="1">
        <v>32556</v>
      </c>
      <c r="B935">
        <v>10.69</v>
      </c>
      <c r="C935" s="11">
        <f t="shared" si="56"/>
        <v>0.1069</v>
      </c>
      <c r="D935">
        <f t="shared" si="57"/>
        <v>1989</v>
      </c>
      <c r="E935" t="str">
        <f t="shared" si="58"/>
        <v>Feb-1989</v>
      </c>
      <c r="F935" s="12">
        <f t="shared" si="59"/>
        <v>6.36</v>
      </c>
    </row>
    <row r="936" spans="1:6" x14ac:dyDescent="0.25">
      <c r="A936" s="1">
        <v>32563</v>
      </c>
      <c r="B936">
        <v>10.78</v>
      </c>
      <c r="C936" s="11">
        <f t="shared" si="56"/>
        <v>0.10779999999999999</v>
      </c>
      <c r="D936">
        <f t="shared" si="57"/>
        <v>1989</v>
      </c>
      <c r="E936" t="str">
        <f t="shared" si="58"/>
        <v>Feb-1989</v>
      </c>
      <c r="F936" s="12">
        <f t="shared" si="59"/>
        <v>6.36</v>
      </c>
    </row>
    <row r="937" spans="1:6" x14ac:dyDescent="0.25">
      <c r="A937" s="1">
        <v>32570</v>
      </c>
      <c r="B937">
        <v>10.91</v>
      </c>
      <c r="C937" s="11">
        <f t="shared" si="56"/>
        <v>0.1091</v>
      </c>
      <c r="D937">
        <f t="shared" si="57"/>
        <v>1989</v>
      </c>
      <c r="E937" t="str">
        <f t="shared" si="58"/>
        <v>Mar-1989</v>
      </c>
      <c r="F937" s="12">
        <f t="shared" si="59"/>
        <v>6.36</v>
      </c>
    </row>
    <row r="938" spans="1:6" x14ac:dyDescent="0.25">
      <c r="A938" s="1">
        <v>32577</v>
      </c>
      <c r="B938">
        <v>10.86</v>
      </c>
      <c r="C938" s="11">
        <f t="shared" si="56"/>
        <v>0.10859999999999999</v>
      </c>
      <c r="D938">
        <f t="shared" si="57"/>
        <v>1989</v>
      </c>
      <c r="E938" t="str">
        <f t="shared" si="58"/>
        <v>Mar-1989</v>
      </c>
      <c r="F938" s="12">
        <f t="shared" si="59"/>
        <v>6.36</v>
      </c>
    </row>
    <row r="939" spans="1:6" x14ac:dyDescent="0.25">
      <c r="A939" s="1">
        <v>32584</v>
      </c>
      <c r="B939">
        <v>10.98</v>
      </c>
      <c r="C939" s="11">
        <f t="shared" si="56"/>
        <v>0.10980000000000001</v>
      </c>
      <c r="D939">
        <f t="shared" si="57"/>
        <v>1989</v>
      </c>
      <c r="E939" t="str">
        <f t="shared" si="58"/>
        <v>Mar-1989</v>
      </c>
      <c r="F939" s="12">
        <f t="shared" si="59"/>
        <v>6.36</v>
      </c>
    </row>
    <row r="940" spans="1:6" x14ac:dyDescent="0.25">
      <c r="A940" s="1">
        <v>32591</v>
      </c>
      <c r="B940">
        <v>11.22</v>
      </c>
      <c r="C940" s="11">
        <f t="shared" si="56"/>
        <v>0.11220000000000001</v>
      </c>
      <c r="D940">
        <f t="shared" si="57"/>
        <v>1989</v>
      </c>
      <c r="E940" t="str">
        <f t="shared" si="58"/>
        <v>Mar-1989</v>
      </c>
      <c r="F940" s="12">
        <f t="shared" si="59"/>
        <v>6.36</v>
      </c>
    </row>
    <row r="941" spans="1:6" x14ac:dyDescent="0.25">
      <c r="A941" s="1">
        <v>32598</v>
      </c>
      <c r="B941">
        <v>11.19</v>
      </c>
      <c r="C941" s="11">
        <f t="shared" si="56"/>
        <v>0.1119</v>
      </c>
      <c r="D941">
        <f t="shared" si="57"/>
        <v>1989</v>
      </c>
      <c r="E941" t="str">
        <f t="shared" si="58"/>
        <v>Mar-1989</v>
      </c>
      <c r="F941" s="12">
        <f t="shared" si="59"/>
        <v>6.36</v>
      </c>
    </row>
    <row r="942" spans="1:6" x14ac:dyDescent="0.25">
      <c r="A942" s="1">
        <v>32605</v>
      </c>
      <c r="B942">
        <v>11.07</v>
      </c>
      <c r="C942" s="11">
        <f t="shared" si="56"/>
        <v>0.11070000000000001</v>
      </c>
      <c r="D942">
        <f t="shared" si="57"/>
        <v>1989</v>
      </c>
      <c r="E942" t="str">
        <f t="shared" si="58"/>
        <v>Apr-1989</v>
      </c>
      <c r="F942" s="12">
        <f t="shared" si="59"/>
        <v>6.36</v>
      </c>
    </row>
    <row r="943" spans="1:6" x14ac:dyDescent="0.25">
      <c r="A943" s="1">
        <v>32612</v>
      </c>
      <c r="B943">
        <v>11.11</v>
      </c>
      <c r="C943" s="11">
        <f t="shared" si="56"/>
        <v>0.11109999999999999</v>
      </c>
      <c r="D943">
        <f t="shared" si="57"/>
        <v>1989</v>
      </c>
      <c r="E943" t="str">
        <f t="shared" si="58"/>
        <v>Apr-1989</v>
      </c>
      <c r="F943" s="12">
        <f t="shared" si="59"/>
        <v>6.36</v>
      </c>
    </row>
    <row r="944" spans="1:6" x14ac:dyDescent="0.25">
      <c r="A944" s="1">
        <v>32619</v>
      </c>
      <c r="B944">
        <v>10.99</v>
      </c>
      <c r="C944" s="11">
        <f t="shared" si="56"/>
        <v>0.1099</v>
      </c>
      <c r="D944">
        <f t="shared" si="57"/>
        <v>1989</v>
      </c>
      <c r="E944" t="str">
        <f t="shared" si="58"/>
        <v>Apr-1989</v>
      </c>
      <c r="F944" s="12">
        <f t="shared" si="59"/>
        <v>6.36</v>
      </c>
    </row>
    <row r="945" spans="1:6" x14ac:dyDescent="0.25">
      <c r="A945" s="1">
        <v>32626</v>
      </c>
      <c r="B945">
        <v>11.03</v>
      </c>
      <c r="C945" s="11">
        <f t="shared" si="56"/>
        <v>0.1103</v>
      </c>
      <c r="D945">
        <f t="shared" si="57"/>
        <v>1989</v>
      </c>
      <c r="E945" t="str">
        <f t="shared" si="58"/>
        <v>Apr-1989</v>
      </c>
      <c r="F945" s="12">
        <f t="shared" si="59"/>
        <v>6.36</v>
      </c>
    </row>
    <row r="946" spans="1:6" x14ac:dyDescent="0.25">
      <c r="A946" s="1">
        <v>32633</v>
      </c>
      <c r="B946">
        <v>10.97</v>
      </c>
      <c r="C946" s="11">
        <f t="shared" si="56"/>
        <v>0.10970000000000001</v>
      </c>
      <c r="D946">
        <f t="shared" si="57"/>
        <v>1989</v>
      </c>
      <c r="E946" t="str">
        <f t="shared" si="58"/>
        <v>May-1989</v>
      </c>
      <c r="F946" s="12">
        <f t="shared" si="59"/>
        <v>6.36</v>
      </c>
    </row>
    <row r="947" spans="1:6" x14ac:dyDescent="0.25">
      <c r="A947" s="1">
        <v>32640</v>
      </c>
      <c r="B947">
        <v>10.93</v>
      </c>
      <c r="C947" s="11">
        <f t="shared" si="56"/>
        <v>0.10929999999999999</v>
      </c>
      <c r="D947">
        <f t="shared" si="57"/>
        <v>1989</v>
      </c>
      <c r="E947" t="str">
        <f t="shared" si="58"/>
        <v>May-1989</v>
      </c>
      <c r="F947" s="12">
        <f t="shared" si="59"/>
        <v>6.36</v>
      </c>
    </row>
    <row r="948" spans="1:6" x14ac:dyDescent="0.25">
      <c r="A948" s="1">
        <v>32647</v>
      </c>
      <c r="B948">
        <v>10.69</v>
      </c>
      <c r="C948" s="11">
        <f t="shared" si="56"/>
        <v>0.1069</v>
      </c>
      <c r="D948">
        <f t="shared" si="57"/>
        <v>1989</v>
      </c>
      <c r="E948" t="str">
        <f t="shared" si="58"/>
        <v>May-1989</v>
      </c>
      <c r="F948" s="12">
        <f t="shared" si="59"/>
        <v>6.36</v>
      </c>
    </row>
    <row r="949" spans="1:6" x14ac:dyDescent="0.25">
      <c r="A949" s="1">
        <v>32654</v>
      </c>
      <c r="B949">
        <v>10.5</v>
      </c>
      <c r="C949" s="11">
        <f t="shared" si="56"/>
        <v>0.105</v>
      </c>
      <c r="D949">
        <f t="shared" si="57"/>
        <v>1989</v>
      </c>
      <c r="E949" t="str">
        <f t="shared" si="58"/>
        <v>May-1989</v>
      </c>
      <c r="F949" s="12">
        <f t="shared" si="59"/>
        <v>6.36</v>
      </c>
    </row>
    <row r="950" spans="1:6" x14ac:dyDescent="0.25">
      <c r="A950" s="1">
        <v>32661</v>
      </c>
      <c r="B950">
        <v>10.48</v>
      </c>
      <c r="C950" s="11">
        <f t="shared" si="56"/>
        <v>0.1048</v>
      </c>
      <c r="D950">
        <f t="shared" si="57"/>
        <v>1989</v>
      </c>
      <c r="E950" t="str">
        <f t="shared" si="58"/>
        <v>Jun-1989</v>
      </c>
      <c r="F950" s="12">
        <f t="shared" si="59"/>
        <v>6.36</v>
      </c>
    </row>
    <row r="951" spans="1:6" x14ac:dyDescent="0.25">
      <c r="A951" s="1">
        <v>32668</v>
      </c>
      <c r="B951">
        <v>10.199999999999999</v>
      </c>
      <c r="C951" s="11">
        <f t="shared" si="56"/>
        <v>0.10199999999999999</v>
      </c>
      <c r="D951">
        <f t="shared" si="57"/>
        <v>1989</v>
      </c>
      <c r="E951" t="str">
        <f t="shared" si="58"/>
        <v>Jun-1989</v>
      </c>
      <c r="F951" s="12">
        <f t="shared" si="59"/>
        <v>6.36</v>
      </c>
    </row>
    <row r="952" spans="1:6" x14ac:dyDescent="0.25">
      <c r="A952" s="1">
        <v>32675</v>
      </c>
      <c r="B952">
        <v>10.039999999999999</v>
      </c>
      <c r="C952" s="11">
        <f t="shared" si="56"/>
        <v>0.10039999999999999</v>
      </c>
      <c r="D952">
        <f t="shared" si="57"/>
        <v>1989</v>
      </c>
      <c r="E952" t="str">
        <f t="shared" si="58"/>
        <v>Jun-1989</v>
      </c>
      <c r="F952" s="12">
        <f t="shared" si="59"/>
        <v>6.36</v>
      </c>
    </row>
    <row r="953" spans="1:6" x14ac:dyDescent="0.25">
      <c r="A953" s="1">
        <v>32682</v>
      </c>
      <c r="B953">
        <v>10.19</v>
      </c>
      <c r="C953" s="11">
        <f t="shared" si="56"/>
        <v>0.10189999999999999</v>
      </c>
      <c r="D953">
        <f t="shared" si="57"/>
        <v>1989</v>
      </c>
      <c r="E953" t="str">
        <f t="shared" si="58"/>
        <v>Jun-1989</v>
      </c>
      <c r="F953" s="12">
        <f t="shared" si="59"/>
        <v>6.36</v>
      </c>
    </row>
    <row r="954" spans="1:6" x14ac:dyDescent="0.25">
      <c r="A954" s="1">
        <v>32689</v>
      </c>
      <c r="B954">
        <v>10.07</v>
      </c>
      <c r="C954" s="11">
        <f t="shared" si="56"/>
        <v>0.1007</v>
      </c>
      <c r="D954">
        <f t="shared" si="57"/>
        <v>1989</v>
      </c>
      <c r="E954" t="str">
        <f t="shared" si="58"/>
        <v>Jun-1989</v>
      </c>
      <c r="F954" s="12">
        <f t="shared" si="59"/>
        <v>6.36</v>
      </c>
    </row>
    <row r="955" spans="1:6" x14ac:dyDescent="0.25">
      <c r="A955" s="1">
        <v>32696</v>
      </c>
      <c r="B955">
        <v>10.029999999999999</v>
      </c>
      <c r="C955" s="11">
        <f t="shared" si="56"/>
        <v>0.1003</v>
      </c>
      <c r="D955">
        <f t="shared" si="57"/>
        <v>1989</v>
      </c>
      <c r="E955" t="str">
        <f t="shared" si="58"/>
        <v>Jul-1989</v>
      </c>
      <c r="F955" s="12">
        <f t="shared" si="59"/>
        <v>6.36</v>
      </c>
    </row>
    <row r="956" spans="1:6" x14ac:dyDescent="0.25">
      <c r="A956" s="1">
        <v>32703</v>
      </c>
      <c r="B956">
        <v>9.82</v>
      </c>
      <c r="C956" s="11">
        <f t="shared" si="56"/>
        <v>9.820000000000001E-2</v>
      </c>
      <c r="D956">
        <f t="shared" si="57"/>
        <v>1989</v>
      </c>
      <c r="E956" t="str">
        <f t="shared" si="58"/>
        <v>Jul-1989</v>
      </c>
      <c r="F956" s="12">
        <f t="shared" si="59"/>
        <v>6.36</v>
      </c>
    </row>
    <row r="957" spans="1:6" x14ac:dyDescent="0.25">
      <c r="A957" s="1">
        <v>32710</v>
      </c>
      <c r="B957">
        <v>9.8699999999999992</v>
      </c>
      <c r="C957" s="11">
        <f t="shared" si="56"/>
        <v>9.8699999999999996E-2</v>
      </c>
      <c r="D957">
        <f t="shared" si="57"/>
        <v>1989</v>
      </c>
      <c r="E957" t="str">
        <f t="shared" si="58"/>
        <v>Jul-1989</v>
      </c>
      <c r="F957" s="12">
        <f t="shared" si="59"/>
        <v>6.36</v>
      </c>
    </row>
    <row r="958" spans="1:6" x14ac:dyDescent="0.25">
      <c r="A958" s="1">
        <v>32717</v>
      </c>
      <c r="B958">
        <v>9.81</v>
      </c>
      <c r="C958" s="11">
        <f t="shared" si="56"/>
        <v>9.8100000000000007E-2</v>
      </c>
      <c r="D958">
        <f t="shared" si="57"/>
        <v>1989</v>
      </c>
      <c r="E958" t="str">
        <f t="shared" si="58"/>
        <v>Jul-1989</v>
      </c>
      <c r="F958" s="12">
        <f t="shared" si="59"/>
        <v>6.36</v>
      </c>
    </row>
    <row r="959" spans="1:6" x14ac:dyDescent="0.25">
      <c r="A959" s="1">
        <v>32724</v>
      </c>
      <c r="B959">
        <v>9.68</v>
      </c>
      <c r="C959" s="11">
        <f t="shared" si="56"/>
        <v>9.6799999999999997E-2</v>
      </c>
      <c r="D959">
        <f t="shared" si="57"/>
        <v>1989</v>
      </c>
      <c r="E959" t="str">
        <f t="shared" si="58"/>
        <v>Aug-1989</v>
      </c>
      <c r="F959" s="12">
        <f t="shared" si="59"/>
        <v>6.36</v>
      </c>
    </row>
    <row r="960" spans="1:6" x14ac:dyDescent="0.25">
      <c r="A960" s="1">
        <v>32731</v>
      </c>
      <c r="B960">
        <v>9.9600000000000009</v>
      </c>
      <c r="C960" s="11">
        <f t="shared" si="56"/>
        <v>9.9600000000000008E-2</v>
      </c>
      <c r="D960">
        <f t="shared" si="57"/>
        <v>1989</v>
      </c>
      <c r="E960" t="str">
        <f t="shared" si="58"/>
        <v>Aug-1989</v>
      </c>
      <c r="F960" s="12">
        <f t="shared" si="59"/>
        <v>6.36</v>
      </c>
    </row>
    <row r="961" spans="1:6" x14ac:dyDescent="0.25">
      <c r="A961" s="1">
        <v>32738</v>
      </c>
      <c r="B961">
        <v>10.09</v>
      </c>
      <c r="C961" s="11">
        <f t="shared" si="56"/>
        <v>0.1009</v>
      </c>
      <c r="D961">
        <f t="shared" si="57"/>
        <v>1989</v>
      </c>
      <c r="E961" t="str">
        <f t="shared" si="58"/>
        <v>Aug-1989</v>
      </c>
      <c r="F961" s="12">
        <f t="shared" si="59"/>
        <v>6.36</v>
      </c>
    </row>
    <row r="962" spans="1:6" x14ac:dyDescent="0.25">
      <c r="A962" s="1">
        <v>32745</v>
      </c>
      <c r="B962">
        <v>10.210000000000001</v>
      </c>
      <c r="C962" s="11">
        <f t="shared" ref="C962:C1025" si="60">B962/100</f>
        <v>0.10210000000000001</v>
      </c>
      <c r="D962">
        <f t="shared" ref="D962:D1025" si="61">YEAR(A962)</f>
        <v>1989</v>
      </c>
      <c r="E962" t="str">
        <f t="shared" ref="E962:E1025" si="62">TEXT(A962,"MMM-YYYY")</f>
        <v>Aug-1989</v>
      </c>
      <c r="F962" s="12">
        <f t="shared" ref="F962:F1025" si="63">$H$2</f>
        <v>6.36</v>
      </c>
    </row>
    <row r="963" spans="1:6" x14ac:dyDescent="0.25">
      <c r="A963" s="1">
        <v>32752</v>
      </c>
      <c r="B963">
        <v>10.220000000000001</v>
      </c>
      <c r="C963" s="11">
        <f t="shared" si="60"/>
        <v>0.10220000000000001</v>
      </c>
      <c r="D963">
        <f t="shared" si="61"/>
        <v>1989</v>
      </c>
      <c r="E963" t="str">
        <f t="shared" si="62"/>
        <v>Sep-1989</v>
      </c>
      <c r="F963" s="12">
        <f t="shared" si="63"/>
        <v>6.36</v>
      </c>
    </row>
    <row r="964" spans="1:6" x14ac:dyDescent="0.25">
      <c r="A964" s="1">
        <v>32759</v>
      </c>
      <c r="B964">
        <v>10.17</v>
      </c>
      <c r="C964" s="11">
        <f t="shared" si="60"/>
        <v>0.1017</v>
      </c>
      <c r="D964">
        <f t="shared" si="61"/>
        <v>1989</v>
      </c>
      <c r="E964" t="str">
        <f t="shared" si="62"/>
        <v>Sep-1989</v>
      </c>
      <c r="F964" s="12">
        <f t="shared" si="63"/>
        <v>6.36</v>
      </c>
    </row>
    <row r="965" spans="1:6" x14ac:dyDescent="0.25">
      <c r="A965" s="1">
        <v>32766</v>
      </c>
      <c r="B965">
        <v>10.050000000000001</v>
      </c>
      <c r="C965" s="11">
        <f t="shared" si="60"/>
        <v>0.10050000000000001</v>
      </c>
      <c r="D965">
        <f t="shared" si="61"/>
        <v>1989</v>
      </c>
      <c r="E965" t="str">
        <f t="shared" si="62"/>
        <v>Sep-1989</v>
      </c>
      <c r="F965" s="12">
        <f t="shared" si="63"/>
        <v>6.36</v>
      </c>
    </row>
    <row r="966" spans="1:6" x14ac:dyDescent="0.25">
      <c r="A966" s="1">
        <v>32773</v>
      </c>
      <c r="B966">
        <v>10.029999999999999</v>
      </c>
      <c r="C966" s="11">
        <f t="shared" si="60"/>
        <v>0.1003</v>
      </c>
      <c r="D966">
        <f t="shared" si="61"/>
        <v>1989</v>
      </c>
      <c r="E966" t="str">
        <f t="shared" si="62"/>
        <v>Sep-1989</v>
      </c>
      <c r="F966" s="12">
        <f t="shared" si="63"/>
        <v>6.36</v>
      </c>
    </row>
    <row r="967" spans="1:6" x14ac:dyDescent="0.25">
      <c r="A967" s="1">
        <v>32780</v>
      </c>
      <c r="B967">
        <v>10.16</v>
      </c>
      <c r="C967" s="11">
        <f t="shared" si="60"/>
        <v>0.1016</v>
      </c>
      <c r="D967">
        <f t="shared" si="61"/>
        <v>1989</v>
      </c>
      <c r="E967" t="str">
        <f t="shared" si="62"/>
        <v>Sep-1989</v>
      </c>
      <c r="F967" s="12">
        <f t="shared" si="63"/>
        <v>6.36</v>
      </c>
    </row>
    <row r="968" spans="1:6" x14ac:dyDescent="0.25">
      <c r="A968" s="1">
        <v>32787</v>
      </c>
      <c r="B968">
        <v>10.1</v>
      </c>
      <c r="C968" s="11">
        <f t="shared" si="60"/>
        <v>0.10099999999999999</v>
      </c>
      <c r="D968">
        <f t="shared" si="61"/>
        <v>1989</v>
      </c>
      <c r="E968" t="str">
        <f t="shared" si="62"/>
        <v>Oct-1989</v>
      </c>
      <c r="F968" s="12">
        <f t="shared" si="63"/>
        <v>6.36</v>
      </c>
    </row>
    <row r="969" spans="1:6" x14ac:dyDescent="0.25">
      <c r="A969" s="1">
        <v>32794</v>
      </c>
      <c r="B969">
        <v>9.9499999999999993</v>
      </c>
      <c r="C969" s="11">
        <f t="shared" si="60"/>
        <v>9.9499999999999991E-2</v>
      </c>
      <c r="D969">
        <f t="shared" si="61"/>
        <v>1989</v>
      </c>
      <c r="E969" t="str">
        <f t="shared" si="62"/>
        <v>Oct-1989</v>
      </c>
      <c r="F969" s="12">
        <f t="shared" si="63"/>
        <v>6.36</v>
      </c>
    </row>
    <row r="970" spans="1:6" x14ac:dyDescent="0.25">
      <c r="A970" s="1">
        <v>32801</v>
      </c>
      <c r="B970">
        <v>9.92</v>
      </c>
      <c r="C970" s="11">
        <f t="shared" si="60"/>
        <v>9.9199999999999997E-2</v>
      </c>
      <c r="D970">
        <f t="shared" si="61"/>
        <v>1989</v>
      </c>
      <c r="E970" t="str">
        <f t="shared" si="62"/>
        <v>Oct-1989</v>
      </c>
      <c r="F970" s="12">
        <f t="shared" si="63"/>
        <v>6.36</v>
      </c>
    </row>
    <row r="971" spans="1:6" x14ac:dyDescent="0.25">
      <c r="A971" s="1">
        <v>32808</v>
      </c>
      <c r="B971">
        <v>9.82</v>
      </c>
      <c r="C971" s="11">
        <f t="shared" si="60"/>
        <v>9.820000000000001E-2</v>
      </c>
      <c r="D971">
        <f t="shared" si="61"/>
        <v>1989</v>
      </c>
      <c r="E971" t="str">
        <f t="shared" si="62"/>
        <v>Oct-1989</v>
      </c>
      <c r="F971" s="12">
        <f t="shared" si="63"/>
        <v>6.36</v>
      </c>
    </row>
    <row r="972" spans="1:6" x14ac:dyDescent="0.25">
      <c r="A972" s="1">
        <v>32815</v>
      </c>
      <c r="B972">
        <v>9.82</v>
      </c>
      <c r="C972" s="11">
        <f t="shared" si="60"/>
        <v>9.820000000000001E-2</v>
      </c>
      <c r="D972">
        <f t="shared" si="61"/>
        <v>1989</v>
      </c>
      <c r="E972" t="str">
        <f t="shared" si="62"/>
        <v>Nov-1989</v>
      </c>
      <c r="F972" s="12">
        <f t="shared" si="63"/>
        <v>6.36</v>
      </c>
    </row>
    <row r="973" spans="1:6" x14ac:dyDescent="0.25">
      <c r="A973" s="1">
        <v>32822</v>
      </c>
      <c r="B973">
        <v>9.7899999999999991</v>
      </c>
      <c r="C973" s="11">
        <f t="shared" si="60"/>
        <v>9.7899999999999987E-2</v>
      </c>
      <c r="D973">
        <f t="shared" si="61"/>
        <v>1989</v>
      </c>
      <c r="E973" t="str">
        <f t="shared" si="62"/>
        <v>Nov-1989</v>
      </c>
      <c r="F973" s="12">
        <f t="shared" si="63"/>
        <v>6.36</v>
      </c>
    </row>
    <row r="974" spans="1:6" x14ac:dyDescent="0.25">
      <c r="A974" s="1">
        <v>32829</v>
      </c>
      <c r="B974">
        <v>9.7200000000000006</v>
      </c>
      <c r="C974" s="11">
        <f t="shared" si="60"/>
        <v>9.7200000000000009E-2</v>
      </c>
      <c r="D974">
        <f t="shared" si="61"/>
        <v>1989</v>
      </c>
      <c r="E974" t="str">
        <f t="shared" si="62"/>
        <v>Nov-1989</v>
      </c>
      <c r="F974" s="12">
        <f t="shared" si="63"/>
        <v>6.36</v>
      </c>
    </row>
    <row r="975" spans="1:6" x14ac:dyDescent="0.25">
      <c r="A975" s="1">
        <v>32836</v>
      </c>
      <c r="B975">
        <v>9.74</v>
      </c>
      <c r="C975" s="11">
        <f t="shared" si="60"/>
        <v>9.74E-2</v>
      </c>
      <c r="D975">
        <f t="shared" si="61"/>
        <v>1989</v>
      </c>
      <c r="E975" t="str">
        <f t="shared" si="62"/>
        <v>Nov-1989</v>
      </c>
      <c r="F975" s="12">
        <f t="shared" si="63"/>
        <v>6.36</v>
      </c>
    </row>
    <row r="976" spans="1:6" x14ac:dyDescent="0.25">
      <c r="A976" s="1">
        <v>32843</v>
      </c>
      <c r="B976">
        <v>9.74</v>
      </c>
      <c r="C976" s="11">
        <f t="shared" si="60"/>
        <v>9.74E-2</v>
      </c>
      <c r="D976">
        <f t="shared" si="61"/>
        <v>1989</v>
      </c>
      <c r="E976" t="str">
        <f t="shared" si="62"/>
        <v>Dec-1989</v>
      </c>
      <c r="F976" s="12">
        <f t="shared" si="63"/>
        <v>6.36</v>
      </c>
    </row>
    <row r="977" spans="1:6" x14ac:dyDescent="0.25">
      <c r="A977" s="1">
        <v>32850</v>
      </c>
      <c r="B977">
        <v>9.76</v>
      </c>
      <c r="C977" s="11">
        <f t="shared" si="60"/>
        <v>9.7599999999999992E-2</v>
      </c>
      <c r="D977">
        <f t="shared" si="61"/>
        <v>1989</v>
      </c>
      <c r="E977" t="str">
        <f t="shared" si="62"/>
        <v>Dec-1989</v>
      </c>
      <c r="F977" s="12">
        <f t="shared" si="63"/>
        <v>6.36</v>
      </c>
    </row>
    <row r="978" spans="1:6" x14ac:dyDescent="0.25">
      <c r="A978" s="1">
        <v>32857</v>
      </c>
      <c r="B978">
        <v>9.75</v>
      </c>
      <c r="C978" s="11">
        <f t="shared" si="60"/>
        <v>9.7500000000000003E-2</v>
      </c>
      <c r="D978">
        <f t="shared" si="61"/>
        <v>1989</v>
      </c>
      <c r="E978" t="str">
        <f t="shared" si="62"/>
        <v>Dec-1989</v>
      </c>
      <c r="F978" s="12">
        <f t="shared" si="63"/>
        <v>6.36</v>
      </c>
    </row>
    <row r="979" spans="1:6" x14ac:dyDescent="0.25">
      <c r="A979" s="1">
        <v>32864</v>
      </c>
      <c r="B979">
        <v>9.69</v>
      </c>
      <c r="C979" s="11">
        <f t="shared" si="60"/>
        <v>9.69E-2</v>
      </c>
      <c r="D979">
        <f t="shared" si="61"/>
        <v>1989</v>
      </c>
      <c r="E979" t="str">
        <f t="shared" si="62"/>
        <v>Dec-1989</v>
      </c>
      <c r="F979" s="12">
        <f t="shared" si="63"/>
        <v>6.36</v>
      </c>
    </row>
    <row r="980" spans="1:6" x14ac:dyDescent="0.25">
      <c r="A980" s="1">
        <v>32871</v>
      </c>
      <c r="B980">
        <v>9.7799999999999994</v>
      </c>
      <c r="C980" s="11">
        <f t="shared" si="60"/>
        <v>9.7799999999999998E-2</v>
      </c>
      <c r="D980">
        <f t="shared" si="61"/>
        <v>1989</v>
      </c>
      <c r="E980" t="str">
        <f t="shared" si="62"/>
        <v>Dec-1989</v>
      </c>
      <c r="F980" s="12">
        <f t="shared" si="63"/>
        <v>6.36</v>
      </c>
    </row>
    <row r="981" spans="1:6" x14ac:dyDescent="0.25">
      <c r="A981" s="1">
        <v>32878</v>
      </c>
      <c r="B981">
        <v>9.83</v>
      </c>
      <c r="C981" s="11">
        <f t="shared" si="60"/>
        <v>9.8299999999999998E-2</v>
      </c>
      <c r="D981">
        <f t="shared" si="61"/>
        <v>1990</v>
      </c>
      <c r="E981" t="str">
        <f t="shared" si="62"/>
        <v>Jan-1990</v>
      </c>
      <c r="F981" s="12">
        <f t="shared" si="63"/>
        <v>6.36</v>
      </c>
    </row>
    <row r="982" spans="1:6" x14ac:dyDescent="0.25">
      <c r="A982" s="1">
        <v>32885</v>
      </c>
      <c r="B982">
        <v>9.8000000000000007</v>
      </c>
      <c r="C982" s="11">
        <f t="shared" si="60"/>
        <v>9.8000000000000004E-2</v>
      </c>
      <c r="D982">
        <f t="shared" si="61"/>
        <v>1990</v>
      </c>
      <c r="E982" t="str">
        <f t="shared" si="62"/>
        <v>Jan-1990</v>
      </c>
      <c r="F982" s="12">
        <f t="shared" si="63"/>
        <v>6.36</v>
      </c>
    </row>
    <row r="983" spans="1:6" x14ac:dyDescent="0.25">
      <c r="A983" s="1">
        <v>32892</v>
      </c>
      <c r="B983">
        <v>9.9</v>
      </c>
      <c r="C983" s="11">
        <f t="shared" si="60"/>
        <v>9.9000000000000005E-2</v>
      </c>
      <c r="D983">
        <f t="shared" si="61"/>
        <v>1990</v>
      </c>
      <c r="E983" t="str">
        <f t="shared" si="62"/>
        <v>Jan-1990</v>
      </c>
      <c r="F983" s="12">
        <f t="shared" si="63"/>
        <v>6.36</v>
      </c>
    </row>
    <row r="984" spans="1:6" x14ac:dyDescent="0.25">
      <c r="A984" s="1">
        <v>32899</v>
      </c>
      <c r="B984">
        <v>10.050000000000001</v>
      </c>
      <c r="C984" s="11">
        <f t="shared" si="60"/>
        <v>0.10050000000000001</v>
      </c>
      <c r="D984">
        <f t="shared" si="61"/>
        <v>1990</v>
      </c>
      <c r="E984" t="str">
        <f t="shared" si="62"/>
        <v>Jan-1990</v>
      </c>
      <c r="F984" s="12">
        <f t="shared" si="63"/>
        <v>6.36</v>
      </c>
    </row>
    <row r="985" spans="1:6" x14ac:dyDescent="0.25">
      <c r="A985" s="1">
        <v>32906</v>
      </c>
      <c r="B985">
        <v>10.17</v>
      </c>
      <c r="C985" s="11">
        <f t="shared" si="60"/>
        <v>0.1017</v>
      </c>
      <c r="D985">
        <f t="shared" si="61"/>
        <v>1990</v>
      </c>
      <c r="E985" t="str">
        <f t="shared" si="62"/>
        <v>Feb-1990</v>
      </c>
      <c r="F985" s="12">
        <f t="shared" si="63"/>
        <v>6.36</v>
      </c>
    </row>
    <row r="986" spans="1:6" x14ac:dyDescent="0.25">
      <c r="A986" s="1">
        <v>32913</v>
      </c>
      <c r="B986">
        <v>10.210000000000001</v>
      </c>
      <c r="C986" s="11">
        <f t="shared" si="60"/>
        <v>0.10210000000000001</v>
      </c>
      <c r="D986">
        <f t="shared" si="61"/>
        <v>1990</v>
      </c>
      <c r="E986" t="str">
        <f t="shared" si="62"/>
        <v>Feb-1990</v>
      </c>
      <c r="F986" s="12">
        <f t="shared" si="63"/>
        <v>6.36</v>
      </c>
    </row>
    <row r="987" spans="1:6" x14ac:dyDescent="0.25">
      <c r="A987" s="1">
        <v>32920</v>
      </c>
      <c r="B987">
        <v>10.1</v>
      </c>
      <c r="C987" s="11">
        <f t="shared" si="60"/>
        <v>0.10099999999999999</v>
      </c>
      <c r="D987">
        <f t="shared" si="61"/>
        <v>1990</v>
      </c>
      <c r="E987" t="str">
        <f t="shared" si="62"/>
        <v>Feb-1990</v>
      </c>
      <c r="F987" s="12">
        <f t="shared" si="63"/>
        <v>6.36</v>
      </c>
    </row>
    <row r="988" spans="1:6" x14ac:dyDescent="0.25">
      <c r="A988" s="1">
        <v>32927</v>
      </c>
      <c r="B988">
        <v>10.31</v>
      </c>
      <c r="C988" s="11">
        <f t="shared" si="60"/>
        <v>0.10310000000000001</v>
      </c>
      <c r="D988">
        <f t="shared" si="61"/>
        <v>1990</v>
      </c>
      <c r="E988" t="str">
        <f t="shared" si="62"/>
        <v>Feb-1990</v>
      </c>
      <c r="F988" s="12">
        <f t="shared" si="63"/>
        <v>6.36</v>
      </c>
    </row>
    <row r="989" spans="1:6" x14ac:dyDescent="0.25">
      <c r="A989" s="1">
        <v>32934</v>
      </c>
      <c r="B989">
        <v>10.23</v>
      </c>
      <c r="C989" s="11">
        <f t="shared" si="60"/>
        <v>0.1023</v>
      </c>
      <c r="D989">
        <f t="shared" si="61"/>
        <v>1990</v>
      </c>
      <c r="E989" t="str">
        <f t="shared" si="62"/>
        <v>Mar-1990</v>
      </c>
      <c r="F989" s="12">
        <f t="shared" si="63"/>
        <v>6.36</v>
      </c>
    </row>
    <row r="990" spans="1:6" x14ac:dyDescent="0.25">
      <c r="A990" s="1">
        <v>32941</v>
      </c>
      <c r="B990">
        <v>10.29</v>
      </c>
      <c r="C990" s="11">
        <f t="shared" si="60"/>
        <v>0.10289999999999999</v>
      </c>
      <c r="D990">
        <f t="shared" si="61"/>
        <v>1990</v>
      </c>
      <c r="E990" t="str">
        <f t="shared" si="62"/>
        <v>Mar-1990</v>
      </c>
      <c r="F990" s="12">
        <f t="shared" si="63"/>
        <v>6.36</v>
      </c>
    </row>
    <row r="991" spans="1:6" x14ac:dyDescent="0.25">
      <c r="A991" s="1">
        <v>32948</v>
      </c>
      <c r="B991">
        <v>10.34</v>
      </c>
      <c r="C991" s="11">
        <f t="shared" si="60"/>
        <v>0.10339999999999999</v>
      </c>
      <c r="D991">
        <f t="shared" si="61"/>
        <v>1990</v>
      </c>
      <c r="E991" t="str">
        <f t="shared" si="62"/>
        <v>Mar-1990</v>
      </c>
      <c r="F991" s="12">
        <f t="shared" si="63"/>
        <v>6.36</v>
      </c>
    </row>
    <row r="992" spans="1:6" x14ac:dyDescent="0.25">
      <c r="A992" s="1">
        <v>32955</v>
      </c>
      <c r="B992">
        <v>10.26</v>
      </c>
      <c r="C992" s="11">
        <f t="shared" si="60"/>
        <v>0.1026</v>
      </c>
      <c r="D992">
        <f t="shared" si="61"/>
        <v>1990</v>
      </c>
      <c r="E992" t="str">
        <f t="shared" si="62"/>
        <v>Mar-1990</v>
      </c>
      <c r="F992" s="12">
        <f t="shared" si="63"/>
        <v>6.36</v>
      </c>
    </row>
    <row r="993" spans="1:6" x14ac:dyDescent="0.25">
      <c r="A993" s="1">
        <v>32962</v>
      </c>
      <c r="B993">
        <v>10.220000000000001</v>
      </c>
      <c r="C993" s="11">
        <f t="shared" si="60"/>
        <v>0.10220000000000001</v>
      </c>
      <c r="D993">
        <f t="shared" si="61"/>
        <v>1990</v>
      </c>
      <c r="E993" t="str">
        <f t="shared" si="62"/>
        <v>Mar-1990</v>
      </c>
      <c r="F993" s="12">
        <f t="shared" si="63"/>
        <v>6.36</v>
      </c>
    </row>
    <row r="994" spans="1:6" x14ac:dyDescent="0.25">
      <c r="A994" s="1">
        <v>32969</v>
      </c>
      <c r="B994">
        <v>10.26</v>
      </c>
      <c r="C994" s="11">
        <f t="shared" si="60"/>
        <v>0.1026</v>
      </c>
      <c r="D994">
        <f t="shared" si="61"/>
        <v>1990</v>
      </c>
      <c r="E994" t="str">
        <f t="shared" si="62"/>
        <v>Apr-1990</v>
      </c>
      <c r="F994" s="12">
        <f t="shared" si="63"/>
        <v>6.36</v>
      </c>
    </row>
    <row r="995" spans="1:6" x14ac:dyDescent="0.25">
      <c r="A995" s="1">
        <v>32976</v>
      </c>
      <c r="B995">
        <v>10.25</v>
      </c>
      <c r="C995" s="11">
        <f t="shared" si="60"/>
        <v>0.10249999999999999</v>
      </c>
      <c r="D995">
        <f t="shared" si="61"/>
        <v>1990</v>
      </c>
      <c r="E995" t="str">
        <f t="shared" si="62"/>
        <v>Apr-1990</v>
      </c>
      <c r="F995" s="12">
        <f t="shared" si="63"/>
        <v>6.36</v>
      </c>
    </row>
    <row r="996" spans="1:6" x14ac:dyDescent="0.25">
      <c r="A996" s="1">
        <v>32983</v>
      </c>
      <c r="B996">
        <v>10.41</v>
      </c>
      <c r="C996" s="11">
        <f t="shared" si="60"/>
        <v>0.1041</v>
      </c>
      <c r="D996">
        <f t="shared" si="61"/>
        <v>1990</v>
      </c>
      <c r="E996" t="str">
        <f t="shared" si="62"/>
        <v>Apr-1990</v>
      </c>
      <c r="F996" s="12">
        <f t="shared" si="63"/>
        <v>6.36</v>
      </c>
    </row>
    <row r="997" spans="1:6" x14ac:dyDescent="0.25">
      <c r="A997" s="1">
        <v>32990</v>
      </c>
      <c r="B997">
        <v>10.56</v>
      </c>
      <c r="C997" s="11">
        <f t="shared" si="60"/>
        <v>0.1056</v>
      </c>
      <c r="D997">
        <f t="shared" si="61"/>
        <v>1990</v>
      </c>
      <c r="E997" t="str">
        <f t="shared" si="62"/>
        <v>Apr-1990</v>
      </c>
      <c r="F997" s="12">
        <f t="shared" si="63"/>
        <v>6.36</v>
      </c>
    </row>
    <row r="998" spans="1:6" x14ac:dyDescent="0.25">
      <c r="A998" s="1">
        <v>32997</v>
      </c>
      <c r="B998">
        <v>10.67</v>
      </c>
      <c r="C998" s="11">
        <f t="shared" si="60"/>
        <v>0.1067</v>
      </c>
      <c r="D998">
        <f t="shared" si="61"/>
        <v>1990</v>
      </c>
      <c r="E998" t="str">
        <f t="shared" si="62"/>
        <v>May-1990</v>
      </c>
      <c r="F998" s="12">
        <f t="shared" si="63"/>
        <v>6.36</v>
      </c>
    </row>
    <row r="999" spans="1:6" x14ac:dyDescent="0.25">
      <c r="A999" s="1">
        <v>33004</v>
      </c>
      <c r="B999">
        <v>10.54</v>
      </c>
      <c r="C999" s="11">
        <f t="shared" si="60"/>
        <v>0.10539999999999999</v>
      </c>
      <c r="D999">
        <f t="shared" si="61"/>
        <v>1990</v>
      </c>
      <c r="E999" t="str">
        <f t="shared" si="62"/>
        <v>May-1990</v>
      </c>
      <c r="F999" s="12">
        <f t="shared" si="63"/>
        <v>6.36</v>
      </c>
    </row>
    <row r="1000" spans="1:6" x14ac:dyDescent="0.25">
      <c r="A1000" s="1">
        <v>33011</v>
      </c>
      <c r="B1000">
        <v>10.37</v>
      </c>
      <c r="C1000" s="11">
        <f t="shared" si="60"/>
        <v>0.10369999999999999</v>
      </c>
      <c r="D1000">
        <f t="shared" si="61"/>
        <v>1990</v>
      </c>
      <c r="E1000" t="str">
        <f t="shared" si="62"/>
        <v>May-1990</v>
      </c>
      <c r="F1000" s="12">
        <f t="shared" si="63"/>
        <v>6.36</v>
      </c>
    </row>
    <row r="1001" spans="1:6" x14ac:dyDescent="0.25">
      <c r="A1001" s="1">
        <v>33018</v>
      </c>
      <c r="B1001">
        <v>10.33</v>
      </c>
      <c r="C1001" s="11">
        <f t="shared" si="60"/>
        <v>0.1033</v>
      </c>
      <c r="D1001">
        <f t="shared" si="61"/>
        <v>1990</v>
      </c>
      <c r="E1001" t="str">
        <f t="shared" si="62"/>
        <v>May-1990</v>
      </c>
      <c r="F1001" s="12">
        <f t="shared" si="63"/>
        <v>6.36</v>
      </c>
    </row>
    <row r="1002" spans="1:6" x14ac:dyDescent="0.25">
      <c r="A1002" s="1">
        <v>33025</v>
      </c>
      <c r="B1002">
        <v>10.29</v>
      </c>
      <c r="C1002" s="11">
        <f t="shared" si="60"/>
        <v>0.10289999999999999</v>
      </c>
      <c r="D1002">
        <f t="shared" si="61"/>
        <v>1990</v>
      </c>
      <c r="E1002" t="str">
        <f t="shared" si="62"/>
        <v>Jun-1990</v>
      </c>
      <c r="F1002" s="12">
        <f t="shared" si="63"/>
        <v>6.36</v>
      </c>
    </row>
    <row r="1003" spans="1:6" x14ac:dyDescent="0.25">
      <c r="A1003" s="1">
        <v>33032</v>
      </c>
      <c r="B1003">
        <v>10.1</v>
      </c>
      <c r="C1003" s="11">
        <f t="shared" si="60"/>
        <v>0.10099999999999999</v>
      </c>
      <c r="D1003">
        <f t="shared" si="61"/>
        <v>1990</v>
      </c>
      <c r="E1003" t="str">
        <f t="shared" si="62"/>
        <v>Jun-1990</v>
      </c>
      <c r="F1003" s="12">
        <f t="shared" si="63"/>
        <v>6.36</v>
      </c>
    </row>
    <row r="1004" spans="1:6" x14ac:dyDescent="0.25">
      <c r="A1004" s="1">
        <v>33039</v>
      </c>
      <c r="B1004">
        <v>10.119999999999999</v>
      </c>
      <c r="C1004" s="11">
        <f t="shared" si="60"/>
        <v>0.1012</v>
      </c>
      <c r="D1004">
        <f t="shared" si="61"/>
        <v>1990</v>
      </c>
      <c r="E1004" t="str">
        <f t="shared" si="62"/>
        <v>Jun-1990</v>
      </c>
      <c r="F1004" s="12">
        <f t="shared" si="63"/>
        <v>6.36</v>
      </c>
    </row>
    <row r="1005" spans="1:6" x14ac:dyDescent="0.25">
      <c r="A1005" s="1">
        <v>33046</v>
      </c>
      <c r="B1005">
        <v>10.16</v>
      </c>
      <c r="C1005" s="11">
        <f t="shared" si="60"/>
        <v>0.1016</v>
      </c>
      <c r="D1005">
        <f t="shared" si="61"/>
        <v>1990</v>
      </c>
      <c r="E1005" t="str">
        <f t="shared" si="62"/>
        <v>Jun-1990</v>
      </c>
      <c r="F1005" s="12">
        <f t="shared" si="63"/>
        <v>6.36</v>
      </c>
    </row>
    <row r="1006" spans="1:6" x14ac:dyDescent="0.25">
      <c r="A1006" s="1">
        <v>33053</v>
      </c>
      <c r="B1006">
        <v>10.15</v>
      </c>
      <c r="C1006" s="11">
        <f t="shared" si="60"/>
        <v>0.10150000000000001</v>
      </c>
      <c r="D1006">
        <f t="shared" si="61"/>
        <v>1990</v>
      </c>
      <c r="E1006" t="str">
        <f t="shared" si="62"/>
        <v>Jun-1990</v>
      </c>
      <c r="F1006" s="12">
        <f t="shared" si="63"/>
        <v>6.36</v>
      </c>
    </row>
    <row r="1007" spans="1:6" x14ac:dyDescent="0.25">
      <c r="A1007" s="1">
        <v>33060</v>
      </c>
      <c r="B1007">
        <v>10.06</v>
      </c>
      <c r="C1007" s="11">
        <f t="shared" si="60"/>
        <v>0.10060000000000001</v>
      </c>
      <c r="D1007">
        <f t="shared" si="61"/>
        <v>1990</v>
      </c>
      <c r="E1007" t="str">
        <f t="shared" si="62"/>
        <v>Jul-1990</v>
      </c>
      <c r="F1007" s="12">
        <f t="shared" si="63"/>
        <v>6.36</v>
      </c>
    </row>
    <row r="1008" spans="1:6" x14ac:dyDescent="0.25">
      <c r="A1008" s="1">
        <v>33067</v>
      </c>
      <c r="B1008">
        <v>10.11</v>
      </c>
      <c r="C1008" s="11">
        <f t="shared" si="60"/>
        <v>0.1011</v>
      </c>
      <c r="D1008">
        <f t="shared" si="61"/>
        <v>1990</v>
      </c>
      <c r="E1008" t="str">
        <f t="shared" si="62"/>
        <v>Jul-1990</v>
      </c>
      <c r="F1008" s="12">
        <f t="shared" si="63"/>
        <v>6.36</v>
      </c>
    </row>
    <row r="1009" spans="1:6" x14ac:dyDescent="0.25">
      <c r="A1009" s="1">
        <v>33074</v>
      </c>
      <c r="B1009">
        <v>9.99</v>
      </c>
      <c r="C1009" s="11">
        <f t="shared" si="60"/>
        <v>9.9900000000000003E-2</v>
      </c>
      <c r="D1009">
        <f t="shared" si="61"/>
        <v>1990</v>
      </c>
      <c r="E1009" t="str">
        <f t="shared" si="62"/>
        <v>Jul-1990</v>
      </c>
      <c r="F1009" s="12">
        <f t="shared" si="63"/>
        <v>6.36</v>
      </c>
    </row>
    <row r="1010" spans="1:6" x14ac:dyDescent="0.25">
      <c r="A1010" s="1">
        <v>33081</v>
      </c>
      <c r="B1010">
        <v>9.98</v>
      </c>
      <c r="C1010" s="11">
        <f t="shared" si="60"/>
        <v>9.98E-2</v>
      </c>
      <c r="D1010">
        <f t="shared" si="61"/>
        <v>1990</v>
      </c>
      <c r="E1010" t="str">
        <f t="shared" si="62"/>
        <v>Jul-1990</v>
      </c>
      <c r="F1010" s="12">
        <f t="shared" si="63"/>
        <v>6.36</v>
      </c>
    </row>
    <row r="1011" spans="1:6" x14ac:dyDescent="0.25">
      <c r="A1011" s="1">
        <v>33088</v>
      </c>
      <c r="B1011">
        <v>9.84</v>
      </c>
      <c r="C1011" s="11">
        <f t="shared" si="60"/>
        <v>9.8400000000000001E-2</v>
      </c>
      <c r="D1011">
        <f t="shared" si="61"/>
        <v>1990</v>
      </c>
      <c r="E1011" t="str">
        <f t="shared" si="62"/>
        <v>Aug-1990</v>
      </c>
      <c r="F1011" s="12">
        <f t="shared" si="63"/>
        <v>6.36</v>
      </c>
    </row>
    <row r="1012" spans="1:6" x14ac:dyDescent="0.25">
      <c r="A1012" s="1">
        <v>33095</v>
      </c>
      <c r="B1012">
        <v>10.08</v>
      </c>
      <c r="C1012" s="11">
        <f t="shared" si="60"/>
        <v>0.1008</v>
      </c>
      <c r="D1012">
        <f t="shared" si="61"/>
        <v>1990</v>
      </c>
      <c r="E1012" t="str">
        <f t="shared" si="62"/>
        <v>Aug-1990</v>
      </c>
      <c r="F1012" s="12">
        <f t="shared" si="63"/>
        <v>6.36</v>
      </c>
    </row>
    <row r="1013" spans="1:6" x14ac:dyDescent="0.25">
      <c r="A1013" s="1">
        <v>33102</v>
      </c>
      <c r="B1013">
        <v>10.050000000000001</v>
      </c>
      <c r="C1013" s="11">
        <f t="shared" si="60"/>
        <v>0.10050000000000001</v>
      </c>
      <c r="D1013">
        <f t="shared" si="61"/>
        <v>1990</v>
      </c>
      <c r="E1013" t="str">
        <f t="shared" si="62"/>
        <v>Aug-1990</v>
      </c>
      <c r="F1013" s="12">
        <f t="shared" si="63"/>
        <v>6.36</v>
      </c>
    </row>
    <row r="1014" spans="1:6" x14ac:dyDescent="0.25">
      <c r="A1014" s="1">
        <v>33109</v>
      </c>
      <c r="B1014">
        <v>10.29</v>
      </c>
      <c r="C1014" s="11">
        <f t="shared" si="60"/>
        <v>0.10289999999999999</v>
      </c>
      <c r="D1014">
        <f t="shared" si="61"/>
        <v>1990</v>
      </c>
      <c r="E1014" t="str">
        <f t="shared" si="62"/>
        <v>Aug-1990</v>
      </c>
      <c r="F1014" s="12">
        <f t="shared" si="63"/>
        <v>6.36</v>
      </c>
    </row>
    <row r="1015" spans="1:6" x14ac:dyDescent="0.25">
      <c r="A1015" s="1">
        <v>33116</v>
      </c>
      <c r="B1015">
        <v>10.24</v>
      </c>
      <c r="C1015" s="11">
        <f t="shared" si="60"/>
        <v>0.1024</v>
      </c>
      <c r="D1015">
        <f t="shared" si="61"/>
        <v>1990</v>
      </c>
      <c r="E1015" t="str">
        <f t="shared" si="62"/>
        <v>Aug-1990</v>
      </c>
      <c r="F1015" s="12">
        <f t="shared" si="63"/>
        <v>6.36</v>
      </c>
    </row>
    <row r="1016" spans="1:6" x14ac:dyDescent="0.25">
      <c r="A1016" s="1">
        <v>33123</v>
      </c>
      <c r="B1016">
        <v>10.19</v>
      </c>
      <c r="C1016" s="11">
        <f t="shared" si="60"/>
        <v>0.10189999999999999</v>
      </c>
      <c r="D1016">
        <f t="shared" si="61"/>
        <v>1990</v>
      </c>
      <c r="E1016" t="str">
        <f t="shared" si="62"/>
        <v>Sep-1990</v>
      </c>
      <c r="F1016" s="12">
        <f t="shared" si="63"/>
        <v>6.36</v>
      </c>
    </row>
    <row r="1017" spans="1:6" x14ac:dyDescent="0.25">
      <c r="A1017" s="1">
        <v>33130</v>
      </c>
      <c r="B1017">
        <v>10.130000000000001</v>
      </c>
      <c r="C1017" s="11">
        <f t="shared" si="60"/>
        <v>0.1013</v>
      </c>
      <c r="D1017">
        <f t="shared" si="61"/>
        <v>1990</v>
      </c>
      <c r="E1017" t="str">
        <f t="shared" si="62"/>
        <v>Sep-1990</v>
      </c>
      <c r="F1017" s="12">
        <f t="shared" si="63"/>
        <v>6.36</v>
      </c>
    </row>
    <row r="1018" spans="1:6" x14ac:dyDescent="0.25">
      <c r="A1018" s="1">
        <v>33137</v>
      </c>
      <c r="B1018">
        <v>10.16</v>
      </c>
      <c r="C1018" s="11">
        <f t="shared" si="60"/>
        <v>0.1016</v>
      </c>
      <c r="D1018">
        <f t="shared" si="61"/>
        <v>1990</v>
      </c>
      <c r="E1018" t="str">
        <f t="shared" si="62"/>
        <v>Sep-1990</v>
      </c>
      <c r="F1018" s="12">
        <f t="shared" si="63"/>
        <v>6.36</v>
      </c>
    </row>
    <row r="1019" spans="1:6" x14ac:dyDescent="0.25">
      <c r="A1019" s="1">
        <v>33144</v>
      </c>
      <c r="B1019">
        <v>10.220000000000001</v>
      </c>
      <c r="C1019" s="11">
        <f t="shared" si="60"/>
        <v>0.10220000000000001</v>
      </c>
      <c r="D1019">
        <f t="shared" si="61"/>
        <v>1990</v>
      </c>
      <c r="E1019" t="str">
        <f t="shared" si="62"/>
        <v>Sep-1990</v>
      </c>
      <c r="F1019" s="12">
        <f t="shared" si="63"/>
        <v>6.36</v>
      </c>
    </row>
    <row r="1020" spans="1:6" x14ac:dyDescent="0.25">
      <c r="A1020" s="1">
        <v>33151</v>
      </c>
      <c r="B1020">
        <v>10.08</v>
      </c>
      <c r="C1020" s="11">
        <f t="shared" si="60"/>
        <v>0.1008</v>
      </c>
      <c r="D1020">
        <f t="shared" si="61"/>
        <v>1990</v>
      </c>
      <c r="E1020" t="str">
        <f t="shared" si="62"/>
        <v>Oct-1990</v>
      </c>
      <c r="F1020" s="12">
        <f t="shared" si="63"/>
        <v>6.36</v>
      </c>
    </row>
    <row r="1021" spans="1:6" x14ac:dyDescent="0.25">
      <c r="A1021" s="1">
        <v>33158</v>
      </c>
      <c r="B1021">
        <v>10.220000000000001</v>
      </c>
      <c r="C1021" s="11">
        <f t="shared" si="60"/>
        <v>0.10220000000000001</v>
      </c>
      <c r="D1021">
        <f t="shared" si="61"/>
        <v>1990</v>
      </c>
      <c r="E1021" t="str">
        <f t="shared" si="62"/>
        <v>Oct-1990</v>
      </c>
      <c r="F1021" s="12">
        <f t="shared" si="63"/>
        <v>6.36</v>
      </c>
    </row>
    <row r="1022" spans="1:6" x14ac:dyDescent="0.25">
      <c r="A1022" s="1">
        <v>33165</v>
      </c>
      <c r="B1022">
        <v>10.24</v>
      </c>
      <c r="C1022" s="11">
        <f t="shared" si="60"/>
        <v>0.1024</v>
      </c>
      <c r="D1022">
        <f t="shared" si="61"/>
        <v>1990</v>
      </c>
      <c r="E1022" t="str">
        <f t="shared" si="62"/>
        <v>Oct-1990</v>
      </c>
      <c r="F1022" s="12">
        <f t="shared" si="63"/>
        <v>6.36</v>
      </c>
    </row>
    <row r="1023" spans="1:6" x14ac:dyDescent="0.25">
      <c r="A1023" s="1">
        <v>33172</v>
      </c>
      <c r="B1023">
        <v>10.17</v>
      </c>
      <c r="C1023" s="11">
        <f t="shared" si="60"/>
        <v>0.1017</v>
      </c>
      <c r="D1023">
        <f t="shared" si="61"/>
        <v>1990</v>
      </c>
      <c r="E1023" t="str">
        <f t="shared" si="62"/>
        <v>Oct-1990</v>
      </c>
      <c r="F1023" s="12">
        <f t="shared" si="63"/>
        <v>6.36</v>
      </c>
    </row>
    <row r="1024" spans="1:6" x14ac:dyDescent="0.25">
      <c r="A1024" s="1">
        <v>33179</v>
      </c>
      <c r="B1024">
        <v>10.130000000000001</v>
      </c>
      <c r="C1024" s="11">
        <f t="shared" si="60"/>
        <v>0.1013</v>
      </c>
      <c r="D1024">
        <f t="shared" si="61"/>
        <v>1990</v>
      </c>
      <c r="E1024" t="str">
        <f t="shared" si="62"/>
        <v>Nov-1990</v>
      </c>
      <c r="F1024" s="12">
        <f t="shared" si="63"/>
        <v>6.36</v>
      </c>
    </row>
    <row r="1025" spans="1:6" x14ac:dyDescent="0.25">
      <c r="A1025" s="1">
        <v>33186</v>
      </c>
      <c r="B1025">
        <v>10.09</v>
      </c>
      <c r="C1025" s="11">
        <f t="shared" si="60"/>
        <v>0.1009</v>
      </c>
      <c r="D1025">
        <f t="shared" si="61"/>
        <v>1990</v>
      </c>
      <c r="E1025" t="str">
        <f t="shared" si="62"/>
        <v>Nov-1990</v>
      </c>
      <c r="F1025" s="12">
        <f t="shared" si="63"/>
        <v>6.36</v>
      </c>
    </row>
    <row r="1026" spans="1:6" x14ac:dyDescent="0.25">
      <c r="A1026" s="1">
        <v>33193</v>
      </c>
      <c r="B1026">
        <v>10.02</v>
      </c>
      <c r="C1026" s="11">
        <f t="shared" ref="C1026:C1089" si="64">B1026/100</f>
        <v>0.1002</v>
      </c>
      <c r="D1026">
        <f t="shared" ref="D1026:D1089" si="65">YEAR(A1026)</f>
        <v>1990</v>
      </c>
      <c r="E1026" t="str">
        <f t="shared" ref="E1026:E1089" si="66">TEXT(A1026,"MMM-YYYY")</f>
        <v>Nov-1990</v>
      </c>
      <c r="F1026" s="12">
        <f t="shared" ref="F1026:F1089" si="67">$H$2</f>
        <v>6.36</v>
      </c>
    </row>
    <row r="1027" spans="1:6" x14ac:dyDescent="0.25">
      <c r="A1027" s="1">
        <v>33200</v>
      </c>
      <c r="B1027">
        <v>9.93</v>
      </c>
      <c r="C1027" s="11">
        <f t="shared" si="64"/>
        <v>9.9299999999999999E-2</v>
      </c>
      <c r="D1027">
        <f t="shared" si="65"/>
        <v>1990</v>
      </c>
      <c r="E1027" t="str">
        <f t="shared" si="66"/>
        <v>Nov-1990</v>
      </c>
      <c r="F1027" s="12">
        <f t="shared" si="67"/>
        <v>6.36</v>
      </c>
    </row>
    <row r="1028" spans="1:6" x14ac:dyDescent="0.25">
      <c r="A1028" s="1">
        <v>33207</v>
      </c>
      <c r="B1028">
        <v>9.9</v>
      </c>
      <c r="C1028" s="11">
        <f t="shared" si="64"/>
        <v>9.9000000000000005E-2</v>
      </c>
      <c r="D1028">
        <f t="shared" si="65"/>
        <v>1990</v>
      </c>
      <c r="E1028" t="str">
        <f t="shared" si="66"/>
        <v>Nov-1990</v>
      </c>
      <c r="F1028" s="12">
        <f t="shared" si="67"/>
        <v>6.36</v>
      </c>
    </row>
    <row r="1029" spans="1:6" x14ac:dyDescent="0.25">
      <c r="A1029" s="1">
        <v>33214</v>
      </c>
      <c r="B1029">
        <v>9.81</v>
      </c>
      <c r="C1029" s="11">
        <f t="shared" si="64"/>
        <v>9.8100000000000007E-2</v>
      </c>
      <c r="D1029">
        <f t="shared" si="65"/>
        <v>1990</v>
      </c>
      <c r="E1029" t="str">
        <f t="shared" si="66"/>
        <v>Dec-1990</v>
      </c>
      <c r="F1029" s="12">
        <f t="shared" si="67"/>
        <v>6.36</v>
      </c>
    </row>
    <row r="1030" spans="1:6" x14ac:dyDescent="0.25">
      <c r="A1030" s="1">
        <v>33221</v>
      </c>
      <c r="B1030">
        <v>9.56</v>
      </c>
      <c r="C1030" s="11">
        <f t="shared" si="64"/>
        <v>9.5600000000000004E-2</v>
      </c>
      <c r="D1030">
        <f t="shared" si="65"/>
        <v>1990</v>
      </c>
      <c r="E1030" t="str">
        <f t="shared" si="66"/>
        <v>Dec-1990</v>
      </c>
      <c r="F1030" s="12">
        <f t="shared" si="67"/>
        <v>6.36</v>
      </c>
    </row>
    <row r="1031" spans="1:6" x14ac:dyDescent="0.25">
      <c r="A1031" s="1">
        <v>33228</v>
      </c>
      <c r="B1031">
        <v>9.64</v>
      </c>
      <c r="C1031" s="11">
        <f t="shared" si="64"/>
        <v>9.64E-2</v>
      </c>
      <c r="D1031">
        <f t="shared" si="65"/>
        <v>1990</v>
      </c>
      <c r="E1031" t="str">
        <f t="shared" si="66"/>
        <v>Dec-1990</v>
      </c>
      <c r="F1031" s="12">
        <f t="shared" si="67"/>
        <v>6.36</v>
      </c>
    </row>
    <row r="1032" spans="1:6" x14ac:dyDescent="0.25">
      <c r="A1032" s="1">
        <v>33235</v>
      </c>
      <c r="B1032">
        <v>9.68</v>
      </c>
      <c r="C1032" s="11">
        <f t="shared" si="64"/>
        <v>9.6799999999999997E-2</v>
      </c>
      <c r="D1032">
        <f t="shared" si="65"/>
        <v>1990</v>
      </c>
      <c r="E1032" t="str">
        <f t="shared" si="66"/>
        <v>Dec-1990</v>
      </c>
      <c r="F1032" s="12">
        <f t="shared" si="67"/>
        <v>6.36</v>
      </c>
    </row>
    <row r="1033" spans="1:6" x14ac:dyDescent="0.25">
      <c r="A1033" s="1">
        <v>33242</v>
      </c>
      <c r="B1033">
        <v>9.56</v>
      </c>
      <c r="C1033" s="11">
        <f t="shared" si="64"/>
        <v>9.5600000000000004E-2</v>
      </c>
      <c r="D1033">
        <f t="shared" si="65"/>
        <v>1991</v>
      </c>
      <c r="E1033" t="str">
        <f t="shared" si="66"/>
        <v>Jan-1991</v>
      </c>
      <c r="F1033" s="12">
        <f t="shared" si="67"/>
        <v>6.36</v>
      </c>
    </row>
    <row r="1034" spans="1:6" x14ac:dyDescent="0.25">
      <c r="A1034" s="1">
        <v>33249</v>
      </c>
      <c r="B1034">
        <v>9.6300000000000008</v>
      </c>
      <c r="C1034" s="11">
        <f t="shared" si="64"/>
        <v>9.6300000000000011E-2</v>
      </c>
      <c r="D1034">
        <f t="shared" si="65"/>
        <v>1991</v>
      </c>
      <c r="E1034" t="str">
        <f t="shared" si="66"/>
        <v>Jan-1991</v>
      </c>
      <c r="F1034" s="12">
        <f t="shared" si="67"/>
        <v>6.36</v>
      </c>
    </row>
    <row r="1035" spans="1:6" x14ac:dyDescent="0.25">
      <c r="A1035" s="1">
        <v>33256</v>
      </c>
      <c r="B1035">
        <v>9.75</v>
      </c>
      <c r="C1035" s="11">
        <f t="shared" si="64"/>
        <v>9.7500000000000003E-2</v>
      </c>
      <c r="D1035">
        <f t="shared" si="65"/>
        <v>1991</v>
      </c>
      <c r="E1035" t="str">
        <f t="shared" si="66"/>
        <v>Jan-1991</v>
      </c>
      <c r="F1035" s="12">
        <f t="shared" si="67"/>
        <v>6.36</v>
      </c>
    </row>
    <row r="1036" spans="1:6" x14ac:dyDescent="0.25">
      <c r="A1036" s="1">
        <v>33263</v>
      </c>
      <c r="B1036">
        <v>9.61</v>
      </c>
      <c r="C1036" s="11">
        <f t="shared" si="64"/>
        <v>9.6099999999999991E-2</v>
      </c>
      <c r="D1036">
        <f t="shared" si="65"/>
        <v>1991</v>
      </c>
      <c r="E1036" t="str">
        <f t="shared" si="66"/>
        <v>Jan-1991</v>
      </c>
      <c r="F1036" s="12">
        <f t="shared" si="67"/>
        <v>6.36</v>
      </c>
    </row>
    <row r="1037" spans="1:6" x14ac:dyDescent="0.25">
      <c r="A1037" s="1">
        <v>33270</v>
      </c>
      <c r="B1037">
        <v>9.56</v>
      </c>
      <c r="C1037" s="11">
        <f t="shared" si="64"/>
        <v>9.5600000000000004E-2</v>
      </c>
      <c r="D1037">
        <f t="shared" si="65"/>
        <v>1991</v>
      </c>
      <c r="E1037" t="str">
        <f t="shared" si="66"/>
        <v>Feb-1991</v>
      </c>
      <c r="F1037" s="12">
        <f t="shared" si="67"/>
        <v>6.36</v>
      </c>
    </row>
    <row r="1038" spans="1:6" x14ac:dyDescent="0.25">
      <c r="A1038" s="1">
        <v>33277</v>
      </c>
      <c r="B1038">
        <v>9.36</v>
      </c>
      <c r="C1038" s="11">
        <f t="shared" si="64"/>
        <v>9.3599999999999989E-2</v>
      </c>
      <c r="D1038">
        <f t="shared" si="65"/>
        <v>1991</v>
      </c>
      <c r="E1038" t="str">
        <f t="shared" si="66"/>
        <v>Feb-1991</v>
      </c>
      <c r="F1038" s="12">
        <f t="shared" si="67"/>
        <v>6.36</v>
      </c>
    </row>
    <row r="1039" spans="1:6" x14ac:dyDescent="0.25">
      <c r="A1039" s="1">
        <v>33284</v>
      </c>
      <c r="B1039">
        <v>9.25</v>
      </c>
      <c r="C1039" s="11">
        <f t="shared" si="64"/>
        <v>9.2499999999999999E-2</v>
      </c>
      <c r="D1039">
        <f t="shared" si="65"/>
        <v>1991</v>
      </c>
      <c r="E1039" t="str">
        <f t="shared" si="66"/>
        <v>Feb-1991</v>
      </c>
      <c r="F1039" s="12">
        <f t="shared" si="67"/>
        <v>6.36</v>
      </c>
    </row>
    <row r="1040" spans="1:6" x14ac:dyDescent="0.25">
      <c r="A1040" s="1">
        <v>33291</v>
      </c>
      <c r="B1040">
        <v>9.2899999999999991</v>
      </c>
      <c r="C1040" s="11">
        <f t="shared" si="64"/>
        <v>9.2899999999999996E-2</v>
      </c>
      <c r="D1040">
        <f t="shared" si="65"/>
        <v>1991</v>
      </c>
      <c r="E1040" t="str">
        <f t="shared" si="66"/>
        <v>Feb-1991</v>
      </c>
      <c r="F1040" s="12">
        <f t="shared" si="67"/>
        <v>6.36</v>
      </c>
    </row>
    <row r="1041" spans="1:6" x14ac:dyDescent="0.25">
      <c r="A1041" s="1">
        <v>33298</v>
      </c>
      <c r="B1041">
        <v>9.4</v>
      </c>
      <c r="C1041" s="11">
        <f t="shared" si="64"/>
        <v>9.4E-2</v>
      </c>
      <c r="D1041">
        <f t="shared" si="65"/>
        <v>1991</v>
      </c>
      <c r="E1041" t="str">
        <f t="shared" si="66"/>
        <v>Mar-1991</v>
      </c>
      <c r="F1041" s="12">
        <f t="shared" si="67"/>
        <v>6.36</v>
      </c>
    </row>
    <row r="1042" spans="1:6" x14ac:dyDescent="0.25">
      <c r="A1042" s="1">
        <v>33305</v>
      </c>
      <c r="B1042">
        <v>9.49</v>
      </c>
      <c r="C1042" s="11">
        <f t="shared" si="64"/>
        <v>9.4899999999999998E-2</v>
      </c>
      <c r="D1042">
        <f t="shared" si="65"/>
        <v>1991</v>
      </c>
      <c r="E1042" t="str">
        <f t="shared" si="66"/>
        <v>Mar-1991</v>
      </c>
      <c r="F1042" s="12">
        <f t="shared" si="67"/>
        <v>6.36</v>
      </c>
    </row>
    <row r="1043" spans="1:6" x14ac:dyDescent="0.25">
      <c r="A1043" s="1">
        <v>33312</v>
      </c>
      <c r="B1043">
        <v>9.5</v>
      </c>
      <c r="C1043" s="11">
        <f t="shared" si="64"/>
        <v>9.5000000000000001E-2</v>
      </c>
      <c r="D1043">
        <f t="shared" si="65"/>
        <v>1991</v>
      </c>
      <c r="E1043" t="str">
        <f t="shared" si="66"/>
        <v>Mar-1991</v>
      </c>
      <c r="F1043" s="12">
        <f t="shared" si="67"/>
        <v>6.36</v>
      </c>
    </row>
    <row r="1044" spans="1:6" x14ac:dyDescent="0.25">
      <c r="A1044" s="1">
        <v>33319</v>
      </c>
      <c r="B1044">
        <v>9.59</v>
      </c>
      <c r="C1044" s="11">
        <f t="shared" si="64"/>
        <v>9.5899999999999999E-2</v>
      </c>
      <c r="D1044">
        <f t="shared" si="65"/>
        <v>1991</v>
      </c>
      <c r="E1044" t="str">
        <f t="shared" si="66"/>
        <v>Mar-1991</v>
      </c>
      <c r="F1044" s="12">
        <f t="shared" si="67"/>
        <v>6.36</v>
      </c>
    </row>
    <row r="1045" spans="1:6" x14ac:dyDescent="0.25">
      <c r="A1045" s="1">
        <v>33326</v>
      </c>
      <c r="B1045">
        <v>9.52</v>
      </c>
      <c r="C1045" s="11">
        <f t="shared" si="64"/>
        <v>9.5199999999999993E-2</v>
      </c>
      <c r="D1045">
        <f t="shared" si="65"/>
        <v>1991</v>
      </c>
      <c r="E1045" t="str">
        <f t="shared" si="66"/>
        <v>Mar-1991</v>
      </c>
      <c r="F1045" s="12">
        <f t="shared" si="67"/>
        <v>6.36</v>
      </c>
    </row>
    <row r="1046" spans="1:6" x14ac:dyDescent="0.25">
      <c r="A1046" s="1">
        <v>33333</v>
      </c>
      <c r="B1046">
        <v>9.49</v>
      </c>
      <c r="C1046" s="11">
        <f t="shared" si="64"/>
        <v>9.4899999999999998E-2</v>
      </c>
      <c r="D1046">
        <f t="shared" si="65"/>
        <v>1991</v>
      </c>
      <c r="E1046" t="str">
        <f t="shared" si="66"/>
        <v>Apr-1991</v>
      </c>
      <c r="F1046" s="12">
        <f t="shared" si="67"/>
        <v>6.36</v>
      </c>
    </row>
    <row r="1047" spans="1:6" x14ac:dyDescent="0.25">
      <c r="A1047" s="1">
        <v>33340</v>
      </c>
      <c r="B1047">
        <v>9.48</v>
      </c>
      <c r="C1047" s="11">
        <f t="shared" si="64"/>
        <v>9.4800000000000009E-2</v>
      </c>
      <c r="D1047">
        <f t="shared" si="65"/>
        <v>1991</v>
      </c>
      <c r="E1047" t="str">
        <f t="shared" si="66"/>
        <v>Apr-1991</v>
      </c>
      <c r="F1047" s="12">
        <f t="shared" si="67"/>
        <v>6.36</v>
      </c>
    </row>
    <row r="1048" spans="1:6" x14ac:dyDescent="0.25">
      <c r="A1048" s="1">
        <v>33347</v>
      </c>
      <c r="B1048">
        <v>9.4700000000000006</v>
      </c>
      <c r="C1048" s="11">
        <f t="shared" si="64"/>
        <v>9.4700000000000006E-2</v>
      </c>
      <c r="D1048">
        <f t="shared" si="65"/>
        <v>1991</v>
      </c>
      <c r="E1048" t="str">
        <f t="shared" si="66"/>
        <v>Apr-1991</v>
      </c>
      <c r="F1048" s="12">
        <f t="shared" si="67"/>
        <v>6.36</v>
      </c>
    </row>
    <row r="1049" spans="1:6" x14ac:dyDescent="0.25">
      <c r="A1049" s="1">
        <v>33354</v>
      </c>
      <c r="B1049">
        <v>9.5299999999999994</v>
      </c>
      <c r="C1049" s="11">
        <f t="shared" si="64"/>
        <v>9.5299999999999996E-2</v>
      </c>
      <c r="D1049">
        <f t="shared" si="65"/>
        <v>1991</v>
      </c>
      <c r="E1049" t="str">
        <f t="shared" si="66"/>
        <v>Apr-1991</v>
      </c>
      <c r="F1049" s="12">
        <f t="shared" si="67"/>
        <v>6.36</v>
      </c>
    </row>
    <row r="1050" spans="1:6" x14ac:dyDescent="0.25">
      <c r="A1050" s="1">
        <v>33361</v>
      </c>
      <c r="B1050">
        <v>9.4700000000000006</v>
      </c>
      <c r="C1050" s="11">
        <f t="shared" si="64"/>
        <v>9.4700000000000006E-2</v>
      </c>
      <c r="D1050">
        <f t="shared" si="65"/>
        <v>1991</v>
      </c>
      <c r="E1050" t="str">
        <f t="shared" si="66"/>
        <v>May-1991</v>
      </c>
      <c r="F1050" s="12">
        <f t="shared" si="67"/>
        <v>6.36</v>
      </c>
    </row>
    <row r="1051" spans="1:6" x14ac:dyDescent="0.25">
      <c r="A1051" s="1">
        <v>33368</v>
      </c>
      <c r="B1051">
        <v>9.4700000000000006</v>
      </c>
      <c r="C1051" s="11">
        <f t="shared" si="64"/>
        <v>9.4700000000000006E-2</v>
      </c>
      <c r="D1051">
        <f t="shared" si="65"/>
        <v>1991</v>
      </c>
      <c r="E1051" t="str">
        <f t="shared" si="66"/>
        <v>May-1991</v>
      </c>
      <c r="F1051" s="12">
        <f t="shared" si="67"/>
        <v>6.36</v>
      </c>
    </row>
    <row r="1052" spans="1:6" x14ac:dyDescent="0.25">
      <c r="A1052" s="1">
        <v>33375</v>
      </c>
      <c r="B1052">
        <v>9.5</v>
      </c>
      <c r="C1052" s="11">
        <f t="shared" si="64"/>
        <v>9.5000000000000001E-2</v>
      </c>
      <c r="D1052">
        <f t="shared" si="65"/>
        <v>1991</v>
      </c>
      <c r="E1052" t="str">
        <f t="shared" si="66"/>
        <v>May-1991</v>
      </c>
      <c r="F1052" s="12">
        <f t="shared" si="67"/>
        <v>6.36</v>
      </c>
    </row>
    <row r="1053" spans="1:6" x14ac:dyDescent="0.25">
      <c r="A1053" s="1">
        <v>33382</v>
      </c>
      <c r="B1053">
        <v>9.4700000000000006</v>
      </c>
      <c r="C1053" s="11">
        <f t="shared" si="64"/>
        <v>9.4700000000000006E-2</v>
      </c>
      <c r="D1053">
        <f t="shared" si="65"/>
        <v>1991</v>
      </c>
      <c r="E1053" t="str">
        <f t="shared" si="66"/>
        <v>May-1991</v>
      </c>
      <c r="F1053" s="12">
        <f t="shared" si="67"/>
        <v>6.36</v>
      </c>
    </row>
    <row r="1054" spans="1:6" x14ac:dyDescent="0.25">
      <c r="A1054" s="1">
        <v>33389</v>
      </c>
      <c r="B1054">
        <v>9.4499999999999993</v>
      </c>
      <c r="C1054" s="11">
        <f t="shared" si="64"/>
        <v>9.4499999999999987E-2</v>
      </c>
      <c r="D1054">
        <f t="shared" si="65"/>
        <v>1991</v>
      </c>
      <c r="E1054" t="str">
        <f t="shared" si="66"/>
        <v>May-1991</v>
      </c>
      <c r="F1054" s="12">
        <f t="shared" si="67"/>
        <v>6.36</v>
      </c>
    </row>
    <row r="1055" spans="1:6" x14ac:dyDescent="0.25">
      <c r="A1055" s="1">
        <v>33396</v>
      </c>
      <c r="B1055">
        <v>9.48</v>
      </c>
      <c r="C1055" s="11">
        <f t="shared" si="64"/>
        <v>9.4800000000000009E-2</v>
      </c>
      <c r="D1055">
        <f t="shared" si="65"/>
        <v>1991</v>
      </c>
      <c r="E1055" t="str">
        <f t="shared" si="66"/>
        <v>Jun-1991</v>
      </c>
      <c r="F1055" s="12">
        <f t="shared" si="67"/>
        <v>6.36</v>
      </c>
    </row>
    <row r="1056" spans="1:6" x14ac:dyDescent="0.25">
      <c r="A1056" s="1">
        <v>33403</v>
      </c>
      <c r="B1056">
        <v>9.66</v>
      </c>
      <c r="C1056" s="11">
        <f t="shared" si="64"/>
        <v>9.6600000000000005E-2</v>
      </c>
      <c r="D1056">
        <f t="shared" si="65"/>
        <v>1991</v>
      </c>
      <c r="E1056" t="str">
        <f t="shared" si="66"/>
        <v>Jun-1991</v>
      </c>
      <c r="F1056" s="12">
        <f t="shared" si="67"/>
        <v>6.36</v>
      </c>
    </row>
    <row r="1057" spans="1:6" x14ac:dyDescent="0.25">
      <c r="A1057" s="1">
        <v>33410</v>
      </c>
      <c r="B1057">
        <v>9.65</v>
      </c>
      <c r="C1057" s="11">
        <f t="shared" si="64"/>
        <v>9.6500000000000002E-2</v>
      </c>
      <c r="D1057">
        <f t="shared" si="65"/>
        <v>1991</v>
      </c>
      <c r="E1057" t="str">
        <f t="shared" si="66"/>
        <v>Jun-1991</v>
      </c>
      <c r="F1057" s="12">
        <f t="shared" si="67"/>
        <v>6.36</v>
      </c>
    </row>
    <row r="1058" spans="1:6" x14ac:dyDescent="0.25">
      <c r="A1058" s="1">
        <v>33417</v>
      </c>
      <c r="B1058">
        <v>9.67</v>
      </c>
      <c r="C1058" s="11">
        <f t="shared" si="64"/>
        <v>9.6699999999999994E-2</v>
      </c>
      <c r="D1058">
        <f t="shared" si="65"/>
        <v>1991</v>
      </c>
      <c r="E1058" t="str">
        <f t="shared" si="66"/>
        <v>Jun-1991</v>
      </c>
      <c r="F1058" s="12">
        <f t="shared" si="67"/>
        <v>6.36</v>
      </c>
    </row>
    <row r="1059" spans="1:6" x14ac:dyDescent="0.25">
      <c r="A1059" s="1">
        <v>33424</v>
      </c>
      <c r="B1059">
        <v>9.6199999999999992</v>
      </c>
      <c r="C1059" s="11">
        <f t="shared" si="64"/>
        <v>9.6199999999999994E-2</v>
      </c>
      <c r="D1059">
        <f t="shared" si="65"/>
        <v>1991</v>
      </c>
      <c r="E1059" t="str">
        <f t="shared" si="66"/>
        <v>Jul-1991</v>
      </c>
      <c r="F1059" s="12">
        <f t="shared" si="67"/>
        <v>6.36</v>
      </c>
    </row>
    <row r="1060" spans="1:6" x14ac:dyDescent="0.25">
      <c r="A1060" s="1">
        <v>33431</v>
      </c>
      <c r="B1060">
        <v>9.64</v>
      </c>
      <c r="C1060" s="11">
        <f t="shared" si="64"/>
        <v>9.64E-2</v>
      </c>
      <c r="D1060">
        <f t="shared" si="65"/>
        <v>1991</v>
      </c>
      <c r="E1060" t="str">
        <f t="shared" si="66"/>
        <v>Jul-1991</v>
      </c>
      <c r="F1060" s="12">
        <f t="shared" si="67"/>
        <v>6.36</v>
      </c>
    </row>
    <row r="1061" spans="1:6" x14ac:dyDescent="0.25">
      <c r="A1061" s="1">
        <v>33438</v>
      </c>
      <c r="B1061">
        <v>9.5399999999999991</v>
      </c>
      <c r="C1061" s="11">
        <f t="shared" si="64"/>
        <v>9.5399999999999985E-2</v>
      </c>
      <c r="D1061">
        <f t="shared" si="65"/>
        <v>1991</v>
      </c>
      <c r="E1061" t="str">
        <f t="shared" si="66"/>
        <v>Jul-1991</v>
      </c>
      <c r="F1061" s="12">
        <f t="shared" si="67"/>
        <v>6.36</v>
      </c>
    </row>
    <row r="1062" spans="1:6" x14ac:dyDescent="0.25">
      <c r="A1062" s="1">
        <v>33445</v>
      </c>
      <c r="B1062">
        <v>9.5</v>
      </c>
      <c r="C1062" s="11">
        <f t="shared" si="64"/>
        <v>9.5000000000000001E-2</v>
      </c>
      <c r="D1062">
        <f t="shared" si="65"/>
        <v>1991</v>
      </c>
      <c r="E1062" t="str">
        <f t="shared" si="66"/>
        <v>Jul-1991</v>
      </c>
      <c r="F1062" s="12">
        <f t="shared" si="67"/>
        <v>6.36</v>
      </c>
    </row>
    <row r="1063" spans="1:6" x14ac:dyDescent="0.25">
      <c r="A1063" s="1">
        <v>33452</v>
      </c>
      <c r="B1063">
        <v>9.44</v>
      </c>
      <c r="C1063" s="11">
        <f t="shared" si="64"/>
        <v>9.4399999999999998E-2</v>
      </c>
      <c r="D1063">
        <f t="shared" si="65"/>
        <v>1991</v>
      </c>
      <c r="E1063" t="str">
        <f t="shared" si="66"/>
        <v>Aug-1991</v>
      </c>
      <c r="F1063" s="12">
        <f t="shared" si="67"/>
        <v>6.36</v>
      </c>
    </row>
    <row r="1064" spans="1:6" x14ac:dyDescent="0.25">
      <c r="A1064" s="1">
        <v>33459</v>
      </c>
      <c r="B1064">
        <v>9.27</v>
      </c>
      <c r="C1064" s="11">
        <f t="shared" si="64"/>
        <v>9.2699999999999991E-2</v>
      </c>
      <c r="D1064">
        <f t="shared" si="65"/>
        <v>1991</v>
      </c>
      <c r="E1064" t="str">
        <f t="shared" si="66"/>
        <v>Aug-1991</v>
      </c>
      <c r="F1064" s="12">
        <f t="shared" si="67"/>
        <v>6.36</v>
      </c>
    </row>
    <row r="1065" spans="1:6" x14ac:dyDescent="0.25">
      <c r="A1065" s="1">
        <v>33466</v>
      </c>
      <c r="B1065">
        <v>9.19</v>
      </c>
      <c r="C1065" s="11">
        <f t="shared" si="64"/>
        <v>9.1899999999999996E-2</v>
      </c>
      <c r="D1065">
        <f t="shared" si="65"/>
        <v>1991</v>
      </c>
      <c r="E1065" t="str">
        <f t="shared" si="66"/>
        <v>Aug-1991</v>
      </c>
      <c r="F1065" s="12">
        <f t="shared" si="67"/>
        <v>6.36</v>
      </c>
    </row>
    <row r="1066" spans="1:6" x14ac:dyDescent="0.25">
      <c r="A1066" s="1">
        <v>33473</v>
      </c>
      <c r="B1066">
        <v>9.17</v>
      </c>
      <c r="C1066" s="11">
        <f t="shared" si="64"/>
        <v>9.1700000000000004E-2</v>
      </c>
      <c r="D1066">
        <f t="shared" si="65"/>
        <v>1991</v>
      </c>
      <c r="E1066" t="str">
        <f t="shared" si="66"/>
        <v>Aug-1991</v>
      </c>
      <c r="F1066" s="12">
        <f t="shared" si="67"/>
        <v>6.36</v>
      </c>
    </row>
    <row r="1067" spans="1:6" x14ac:dyDescent="0.25">
      <c r="A1067" s="1">
        <v>33480</v>
      </c>
      <c r="B1067">
        <v>9.15</v>
      </c>
      <c r="C1067" s="11">
        <f t="shared" si="64"/>
        <v>9.1499999999999998E-2</v>
      </c>
      <c r="D1067">
        <f t="shared" si="65"/>
        <v>1991</v>
      </c>
      <c r="E1067" t="str">
        <f t="shared" si="66"/>
        <v>Aug-1991</v>
      </c>
      <c r="F1067" s="12">
        <f t="shared" si="67"/>
        <v>6.36</v>
      </c>
    </row>
    <row r="1068" spans="1:6" x14ac:dyDescent="0.25">
      <c r="A1068" s="1">
        <v>33487</v>
      </c>
      <c r="B1068">
        <v>9.14</v>
      </c>
      <c r="C1068" s="11">
        <f t="shared" si="64"/>
        <v>9.1400000000000009E-2</v>
      </c>
      <c r="D1068">
        <f t="shared" si="65"/>
        <v>1991</v>
      </c>
      <c r="E1068" t="str">
        <f t="shared" si="66"/>
        <v>Sep-1991</v>
      </c>
      <c r="F1068" s="12">
        <f t="shared" si="67"/>
        <v>6.36</v>
      </c>
    </row>
    <row r="1069" spans="1:6" x14ac:dyDescent="0.25">
      <c r="A1069" s="1">
        <v>33494</v>
      </c>
      <c r="B1069">
        <v>9.02</v>
      </c>
      <c r="C1069" s="11">
        <f t="shared" si="64"/>
        <v>9.0200000000000002E-2</v>
      </c>
      <c r="D1069">
        <f t="shared" si="65"/>
        <v>1991</v>
      </c>
      <c r="E1069" t="str">
        <f t="shared" si="66"/>
        <v>Sep-1991</v>
      </c>
      <c r="F1069" s="12">
        <f t="shared" si="67"/>
        <v>6.36</v>
      </c>
    </row>
    <row r="1070" spans="1:6" x14ac:dyDescent="0.25">
      <c r="A1070" s="1">
        <v>33501</v>
      </c>
      <c r="B1070">
        <v>8.9499999999999993</v>
      </c>
      <c r="C1070" s="11">
        <f t="shared" si="64"/>
        <v>8.9499999999999996E-2</v>
      </c>
      <c r="D1070">
        <f t="shared" si="65"/>
        <v>1991</v>
      </c>
      <c r="E1070" t="str">
        <f t="shared" si="66"/>
        <v>Sep-1991</v>
      </c>
      <c r="F1070" s="12">
        <f t="shared" si="67"/>
        <v>6.36</v>
      </c>
    </row>
    <row r="1071" spans="1:6" x14ac:dyDescent="0.25">
      <c r="A1071" s="1">
        <v>33508</v>
      </c>
      <c r="B1071">
        <v>8.92</v>
      </c>
      <c r="C1071" s="11">
        <f t="shared" si="64"/>
        <v>8.9200000000000002E-2</v>
      </c>
      <c r="D1071">
        <f t="shared" si="65"/>
        <v>1991</v>
      </c>
      <c r="E1071" t="str">
        <f t="shared" si="66"/>
        <v>Sep-1991</v>
      </c>
      <c r="F1071" s="12">
        <f t="shared" si="67"/>
        <v>6.36</v>
      </c>
    </row>
    <row r="1072" spans="1:6" x14ac:dyDescent="0.25">
      <c r="A1072" s="1">
        <v>33515</v>
      </c>
      <c r="B1072">
        <v>8.8699999999999992</v>
      </c>
      <c r="C1072" s="11">
        <f t="shared" si="64"/>
        <v>8.8699999999999987E-2</v>
      </c>
      <c r="D1072">
        <f t="shared" si="65"/>
        <v>1991</v>
      </c>
      <c r="E1072" t="str">
        <f t="shared" si="66"/>
        <v>Oct-1991</v>
      </c>
      <c r="F1072" s="12">
        <f t="shared" si="67"/>
        <v>6.36</v>
      </c>
    </row>
    <row r="1073" spans="1:6" x14ac:dyDescent="0.25">
      <c r="A1073" s="1">
        <v>33522</v>
      </c>
      <c r="B1073">
        <v>8.82</v>
      </c>
      <c r="C1073" s="11">
        <f t="shared" si="64"/>
        <v>8.8200000000000001E-2</v>
      </c>
      <c r="D1073">
        <f t="shared" si="65"/>
        <v>1991</v>
      </c>
      <c r="E1073" t="str">
        <f t="shared" si="66"/>
        <v>Oct-1991</v>
      </c>
      <c r="F1073" s="12">
        <f t="shared" si="67"/>
        <v>6.36</v>
      </c>
    </row>
    <row r="1074" spans="1:6" x14ac:dyDescent="0.25">
      <c r="A1074" s="1">
        <v>33529</v>
      </c>
      <c r="B1074">
        <v>8.82</v>
      </c>
      <c r="C1074" s="11">
        <f t="shared" si="64"/>
        <v>8.8200000000000001E-2</v>
      </c>
      <c r="D1074">
        <f t="shared" si="65"/>
        <v>1991</v>
      </c>
      <c r="E1074" t="str">
        <f t="shared" si="66"/>
        <v>Oct-1991</v>
      </c>
      <c r="F1074" s="12">
        <f t="shared" si="67"/>
        <v>6.36</v>
      </c>
    </row>
    <row r="1075" spans="1:6" x14ac:dyDescent="0.25">
      <c r="A1075" s="1">
        <v>33536</v>
      </c>
      <c r="B1075">
        <v>8.91</v>
      </c>
      <c r="C1075" s="11">
        <f t="shared" si="64"/>
        <v>8.9099999999999999E-2</v>
      </c>
      <c r="D1075">
        <f t="shared" si="65"/>
        <v>1991</v>
      </c>
      <c r="E1075" t="str">
        <f t="shared" si="66"/>
        <v>Oct-1991</v>
      </c>
      <c r="F1075" s="12">
        <f t="shared" si="67"/>
        <v>6.36</v>
      </c>
    </row>
    <row r="1076" spans="1:6" x14ac:dyDescent="0.25">
      <c r="A1076" s="1">
        <v>33543</v>
      </c>
      <c r="B1076">
        <v>8.7799999999999994</v>
      </c>
      <c r="C1076" s="11">
        <f t="shared" si="64"/>
        <v>8.7799999999999989E-2</v>
      </c>
      <c r="D1076">
        <f t="shared" si="65"/>
        <v>1991</v>
      </c>
      <c r="E1076" t="str">
        <f t="shared" si="66"/>
        <v>Nov-1991</v>
      </c>
      <c r="F1076" s="12">
        <f t="shared" si="67"/>
        <v>6.36</v>
      </c>
    </row>
    <row r="1077" spans="1:6" x14ac:dyDescent="0.25">
      <c r="A1077" s="1">
        <v>33550</v>
      </c>
      <c r="B1077">
        <v>8.76</v>
      </c>
      <c r="C1077" s="11">
        <f t="shared" si="64"/>
        <v>8.7599999999999997E-2</v>
      </c>
      <c r="D1077">
        <f t="shared" si="65"/>
        <v>1991</v>
      </c>
      <c r="E1077" t="str">
        <f t="shared" si="66"/>
        <v>Nov-1991</v>
      </c>
      <c r="F1077" s="12">
        <f t="shared" si="67"/>
        <v>6.36</v>
      </c>
    </row>
    <row r="1078" spans="1:6" x14ac:dyDescent="0.25">
      <c r="A1078" s="1">
        <v>33557</v>
      </c>
      <c r="B1078">
        <v>8.69</v>
      </c>
      <c r="C1078" s="11">
        <f t="shared" si="64"/>
        <v>8.6899999999999991E-2</v>
      </c>
      <c r="D1078">
        <f t="shared" si="65"/>
        <v>1991</v>
      </c>
      <c r="E1078" t="str">
        <f t="shared" si="66"/>
        <v>Nov-1991</v>
      </c>
      <c r="F1078" s="12">
        <f t="shared" si="67"/>
        <v>6.36</v>
      </c>
    </row>
    <row r="1079" spans="1:6" x14ac:dyDescent="0.25">
      <c r="A1079" s="1">
        <v>33564</v>
      </c>
      <c r="B1079">
        <v>8.6300000000000008</v>
      </c>
      <c r="C1079" s="11">
        <f t="shared" si="64"/>
        <v>8.6300000000000002E-2</v>
      </c>
      <c r="D1079">
        <f t="shared" si="65"/>
        <v>1991</v>
      </c>
      <c r="E1079" t="str">
        <f t="shared" si="66"/>
        <v>Nov-1991</v>
      </c>
      <c r="F1079" s="12">
        <f t="shared" si="67"/>
        <v>6.36</v>
      </c>
    </row>
    <row r="1080" spans="1:6" x14ac:dyDescent="0.25">
      <c r="A1080" s="1">
        <v>33571</v>
      </c>
      <c r="B1080">
        <v>8.6999999999999993</v>
      </c>
      <c r="C1080" s="11">
        <f t="shared" si="64"/>
        <v>8.6999999999999994E-2</v>
      </c>
      <c r="D1080">
        <f t="shared" si="65"/>
        <v>1991</v>
      </c>
      <c r="E1080" t="str">
        <f t="shared" si="66"/>
        <v>Nov-1991</v>
      </c>
      <c r="F1080" s="12">
        <f t="shared" si="67"/>
        <v>6.36</v>
      </c>
    </row>
    <row r="1081" spans="1:6" x14ac:dyDescent="0.25">
      <c r="A1081" s="1">
        <v>33578</v>
      </c>
      <c r="B1081">
        <v>8.6199999999999992</v>
      </c>
      <c r="C1081" s="11">
        <f t="shared" si="64"/>
        <v>8.6199999999999999E-2</v>
      </c>
      <c r="D1081">
        <f t="shared" si="65"/>
        <v>1991</v>
      </c>
      <c r="E1081" t="str">
        <f t="shared" si="66"/>
        <v>Dec-1991</v>
      </c>
      <c r="F1081" s="12">
        <f t="shared" si="67"/>
        <v>6.36</v>
      </c>
    </row>
    <row r="1082" spans="1:6" x14ac:dyDescent="0.25">
      <c r="A1082" s="1">
        <v>33585</v>
      </c>
      <c r="B1082">
        <v>8.5299999999999994</v>
      </c>
      <c r="C1082" s="11">
        <f t="shared" si="64"/>
        <v>8.5299999999999987E-2</v>
      </c>
      <c r="D1082">
        <f t="shared" si="65"/>
        <v>1991</v>
      </c>
      <c r="E1082" t="str">
        <f t="shared" si="66"/>
        <v>Dec-1991</v>
      </c>
      <c r="F1082" s="12">
        <f t="shared" si="67"/>
        <v>6.36</v>
      </c>
    </row>
    <row r="1083" spans="1:6" x14ac:dyDescent="0.25">
      <c r="A1083" s="1">
        <v>33592</v>
      </c>
      <c r="B1083">
        <v>8.49</v>
      </c>
      <c r="C1083" s="11">
        <f t="shared" si="64"/>
        <v>8.4900000000000003E-2</v>
      </c>
      <c r="D1083">
        <f t="shared" si="65"/>
        <v>1991</v>
      </c>
      <c r="E1083" t="str">
        <f t="shared" si="66"/>
        <v>Dec-1991</v>
      </c>
      <c r="F1083" s="12">
        <f t="shared" si="67"/>
        <v>6.36</v>
      </c>
    </row>
    <row r="1084" spans="1:6" x14ac:dyDescent="0.25">
      <c r="A1084" s="1">
        <v>33599</v>
      </c>
      <c r="B1084">
        <v>8.35</v>
      </c>
      <c r="C1084" s="11">
        <f t="shared" si="64"/>
        <v>8.3499999999999991E-2</v>
      </c>
      <c r="D1084">
        <f t="shared" si="65"/>
        <v>1991</v>
      </c>
      <c r="E1084" t="str">
        <f t="shared" si="66"/>
        <v>Dec-1991</v>
      </c>
      <c r="F1084" s="12">
        <f t="shared" si="67"/>
        <v>6.36</v>
      </c>
    </row>
    <row r="1085" spans="1:6" x14ac:dyDescent="0.25">
      <c r="A1085" s="1">
        <v>33606</v>
      </c>
      <c r="B1085">
        <v>8.24</v>
      </c>
      <c r="C1085" s="11">
        <f t="shared" si="64"/>
        <v>8.2400000000000001E-2</v>
      </c>
      <c r="D1085">
        <f t="shared" si="65"/>
        <v>1992</v>
      </c>
      <c r="E1085" t="str">
        <f t="shared" si="66"/>
        <v>Jan-1992</v>
      </c>
      <c r="F1085" s="12">
        <f t="shared" si="67"/>
        <v>6.36</v>
      </c>
    </row>
    <row r="1086" spans="1:6" x14ac:dyDescent="0.25">
      <c r="A1086" s="1">
        <v>33613</v>
      </c>
      <c r="B1086">
        <v>8.23</v>
      </c>
      <c r="C1086" s="11">
        <f t="shared" si="64"/>
        <v>8.2299999999999998E-2</v>
      </c>
      <c r="D1086">
        <f t="shared" si="65"/>
        <v>1992</v>
      </c>
      <c r="E1086" t="str">
        <f t="shared" si="66"/>
        <v>Jan-1992</v>
      </c>
      <c r="F1086" s="12">
        <f t="shared" si="67"/>
        <v>6.36</v>
      </c>
    </row>
    <row r="1087" spans="1:6" x14ac:dyDescent="0.25">
      <c r="A1087" s="1">
        <v>33620</v>
      </c>
      <c r="B1087">
        <v>8.4499999999999993</v>
      </c>
      <c r="C1087" s="11">
        <f t="shared" si="64"/>
        <v>8.4499999999999992E-2</v>
      </c>
      <c r="D1087">
        <f t="shared" si="65"/>
        <v>1992</v>
      </c>
      <c r="E1087" t="str">
        <f t="shared" si="66"/>
        <v>Jan-1992</v>
      </c>
      <c r="F1087" s="12">
        <f t="shared" si="67"/>
        <v>6.36</v>
      </c>
    </row>
    <row r="1088" spans="1:6" x14ac:dyDescent="0.25">
      <c r="A1088" s="1">
        <v>33627</v>
      </c>
      <c r="B1088">
        <v>8.56</v>
      </c>
      <c r="C1088" s="11">
        <f t="shared" si="64"/>
        <v>8.5600000000000009E-2</v>
      </c>
      <c r="D1088">
        <f t="shared" si="65"/>
        <v>1992</v>
      </c>
      <c r="E1088" t="str">
        <f t="shared" si="66"/>
        <v>Jan-1992</v>
      </c>
      <c r="F1088" s="12">
        <f t="shared" si="67"/>
        <v>6.36</v>
      </c>
    </row>
    <row r="1089" spans="1:6" x14ac:dyDescent="0.25">
      <c r="A1089" s="1">
        <v>33634</v>
      </c>
      <c r="B1089">
        <v>8.68</v>
      </c>
      <c r="C1089" s="11">
        <f t="shared" si="64"/>
        <v>8.6800000000000002E-2</v>
      </c>
      <c r="D1089">
        <f t="shared" si="65"/>
        <v>1992</v>
      </c>
      <c r="E1089" t="str">
        <f t="shared" si="66"/>
        <v>Jan-1992</v>
      </c>
      <c r="F1089" s="12">
        <f t="shared" si="67"/>
        <v>6.36</v>
      </c>
    </row>
    <row r="1090" spans="1:6" x14ac:dyDescent="0.25">
      <c r="A1090" s="1">
        <v>33641</v>
      </c>
      <c r="B1090">
        <v>8.67</v>
      </c>
      <c r="C1090" s="11">
        <f t="shared" ref="C1090:C1153" si="68">B1090/100</f>
        <v>8.6699999999999999E-2</v>
      </c>
      <c r="D1090">
        <f t="shared" ref="D1090:D1153" si="69">YEAR(A1090)</f>
        <v>1992</v>
      </c>
      <c r="E1090" t="str">
        <f t="shared" ref="E1090:E1153" si="70">TEXT(A1090,"MMM-YYYY")</f>
        <v>Feb-1992</v>
      </c>
      <c r="F1090" s="12">
        <f t="shared" ref="F1090:F1153" si="71">$H$2</f>
        <v>6.36</v>
      </c>
    </row>
    <row r="1091" spans="1:6" x14ac:dyDescent="0.25">
      <c r="A1091" s="1">
        <v>33648</v>
      </c>
      <c r="B1091">
        <v>8.73</v>
      </c>
      <c r="C1091" s="11">
        <f t="shared" si="68"/>
        <v>8.7300000000000003E-2</v>
      </c>
      <c r="D1091">
        <f t="shared" si="69"/>
        <v>1992</v>
      </c>
      <c r="E1091" t="str">
        <f t="shared" si="70"/>
        <v>Feb-1992</v>
      </c>
      <c r="F1091" s="12">
        <f t="shared" si="71"/>
        <v>6.36</v>
      </c>
    </row>
    <row r="1092" spans="1:6" x14ac:dyDescent="0.25">
      <c r="A1092" s="1">
        <v>33655</v>
      </c>
      <c r="B1092">
        <v>8.82</v>
      </c>
      <c r="C1092" s="11">
        <f t="shared" si="68"/>
        <v>8.8200000000000001E-2</v>
      </c>
      <c r="D1092">
        <f t="shared" si="69"/>
        <v>1992</v>
      </c>
      <c r="E1092" t="str">
        <f t="shared" si="70"/>
        <v>Feb-1992</v>
      </c>
      <c r="F1092" s="12">
        <f t="shared" si="71"/>
        <v>6.36</v>
      </c>
    </row>
    <row r="1093" spans="1:6" x14ac:dyDescent="0.25">
      <c r="A1093" s="1">
        <v>33662</v>
      </c>
      <c r="B1093">
        <v>8.83</v>
      </c>
      <c r="C1093" s="11">
        <f t="shared" si="68"/>
        <v>8.8300000000000003E-2</v>
      </c>
      <c r="D1093">
        <f t="shared" si="69"/>
        <v>1992</v>
      </c>
      <c r="E1093" t="str">
        <f t="shared" si="70"/>
        <v>Feb-1992</v>
      </c>
      <c r="F1093" s="12">
        <f t="shared" si="71"/>
        <v>6.36</v>
      </c>
    </row>
    <row r="1094" spans="1:6" x14ac:dyDescent="0.25">
      <c r="A1094" s="1">
        <v>33669</v>
      </c>
      <c r="B1094">
        <v>8.85</v>
      </c>
      <c r="C1094" s="11">
        <f t="shared" si="68"/>
        <v>8.8499999999999995E-2</v>
      </c>
      <c r="D1094">
        <f t="shared" si="69"/>
        <v>1992</v>
      </c>
      <c r="E1094" t="str">
        <f t="shared" si="70"/>
        <v>Mar-1992</v>
      </c>
      <c r="F1094" s="12">
        <f t="shared" si="71"/>
        <v>6.36</v>
      </c>
    </row>
    <row r="1095" spans="1:6" x14ac:dyDescent="0.25">
      <c r="A1095" s="1">
        <v>33676</v>
      </c>
      <c r="B1095">
        <v>8.8800000000000008</v>
      </c>
      <c r="C1095" s="11">
        <f t="shared" si="68"/>
        <v>8.8800000000000004E-2</v>
      </c>
      <c r="D1095">
        <f t="shared" si="69"/>
        <v>1992</v>
      </c>
      <c r="E1095" t="str">
        <f t="shared" si="70"/>
        <v>Mar-1992</v>
      </c>
      <c r="F1095" s="12">
        <f t="shared" si="71"/>
        <v>6.36</v>
      </c>
    </row>
    <row r="1096" spans="1:6" x14ac:dyDescent="0.25">
      <c r="A1096" s="1">
        <v>33683</v>
      </c>
      <c r="B1096">
        <v>9.0299999999999994</v>
      </c>
      <c r="C1096" s="11">
        <f t="shared" si="68"/>
        <v>9.0299999999999991E-2</v>
      </c>
      <c r="D1096">
        <f t="shared" si="69"/>
        <v>1992</v>
      </c>
      <c r="E1096" t="str">
        <f t="shared" si="70"/>
        <v>Mar-1992</v>
      </c>
      <c r="F1096" s="12">
        <f t="shared" si="71"/>
        <v>6.36</v>
      </c>
    </row>
    <row r="1097" spans="1:6" x14ac:dyDescent="0.25">
      <c r="A1097" s="1">
        <v>33690</v>
      </c>
      <c r="B1097">
        <v>8.98</v>
      </c>
      <c r="C1097" s="11">
        <f t="shared" si="68"/>
        <v>8.9800000000000005E-2</v>
      </c>
      <c r="D1097">
        <f t="shared" si="69"/>
        <v>1992</v>
      </c>
      <c r="E1097" t="str">
        <f t="shared" si="70"/>
        <v>Mar-1992</v>
      </c>
      <c r="F1097" s="12">
        <f t="shared" si="71"/>
        <v>6.36</v>
      </c>
    </row>
    <row r="1098" spans="1:6" x14ac:dyDescent="0.25">
      <c r="A1098" s="1">
        <v>33697</v>
      </c>
      <c r="B1098">
        <v>8.9600000000000009</v>
      </c>
      <c r="C1098" s="11">
        <f t="shared" si="68"/>
        <v>8.9600000000000013E-2</v>
      </c>
      <c r="D1098">
        <f t="shared" si="69"/>
        <v>1992</v>
      </c>
      <c r="E1098" t="str">
        <f t="shared" si="70"/>
        <v>Apr-1992</v>
      </c>
      <c r="F1098" s="12">
        <f t="shared" si="71"/>
        <v>6.36</v>
      </c>
    </row>
    <row r="1099" spans="1:6" x14ac:dyDescent="0.25">
      <c r="A1099" s="1">
        <v>33704</v>
      </c>
      <c r="B1099">
        <v>8.84</v>
      </c>
      <c r="C1099" s="11">
        <f t="shared" si="68"/>
        <v>8.8399999999999992E-2</v>
      </c>
      <c r="D1099">
        <f t="shared" si="69"/>
        <v>1992</v>
      </c>
      <c r="E1099" t="str">
        <f t="shared" si="70"/>
        <v>Apr-1992</v>
      </c>
      <c r="F1099" s="12">
        <f t="shared" si="71"/>
        <v>6.36</v>
      </c>
    </row>
    <row r="1100" spans="1:6" x14ac:dyDescent="0.25">
      <c r="A1100" s="1">
        <v>33711</v>
      </c>
      <c r="B1100">
        <v>8.76</v>
      </c>
      <c r="C1100" s="11">
        <f t="shared" si="68"/>
        <v>8.7599999999999997E-2</v>
      </c>
      <c r="D1100">
        <f t="shared" si="69"/>
        <v>1992</v>
      </c>
      <c r="E1100" t="str">
        <f t="shared" si="70"/>
        <v>Apr-1992</v>
      </c>
      <c r="F1100" s="12">
        <f t="shared" si="71"/>
        <v>6.36</v>
      </c>
    </row>
    <row r="1101" spans="1:6" x14ac:dyDescent="0.25">
      <c r="A1101" s="1">
        <v>33718</v>
      </c>
      <c r="B1101">
        <v>8.85</v>
      </c>
      <c r="C1101" s="11">
        <f t="shared" si="68"/>
        <v>8.8499999999999995E-2</v>
      </c>
      <c r="D1101">
        <f t="shared" si="69"/>
        <v>1992</v>
      </c>
      <c r="E1101" t="str">
        <f t="shared" si="70"/>
        <v>Apr-1992</v>
      </c>
      <c r="F1101" s="12">
        <f t="shared" si="71"/>
        <v>6.36</v>
      </c>
    </row>
    <row r="1102" spans="1:6" x14ac:dyDescent="0.25">
      <c r="A1102" s="1">
        <v>33725</v>
      </c>
      <c r="B1102">
        <v>8.84</v>
      </c>
      <c r="C1102" s="11">
        <f t="shared" si="68"/>
        <v>8.8399999999999992E-2</v>
      </c>
      <c r="D1102">
        <f t="shared" si="69"/>
        <v>1992</v>
      </c>
      <c r="E1102" t="str">
        <f t="shared" si="70"/>
        <v>May-1992</v>
      </c>
      <c r="F1102" s="12">
        <f t="shared" si="71"/>
        <v>6.36</v>
      </c>
    </row>
    <row r="1103" spans="1:6" x14ac:dyDescent="0.25">
      <c r="A1103" s="1">
        <v>33732</v>
      </c>
      <c r="B1103">
        <v>8.75</v>
      </c>
      <c r="C1103" s="11">
        <f t="shared" si="68"/>
        <v>8.7499999999999994E-2</v>
      </c>
      <c r="D1103">
        <f t="shared" si="69"/>
        <v>1992</v>
      </c>
      <c r="E1103" t="str">
        <f t="shared" si="70"/>
        <v>May-1992</v>
      </c>
      <c r="F1103" s="12">
        <f t="shared" si="71"/>
        <v>6.36</v>
      </c>
    </row>
    <row r="1104" spans="1:6" x14ac:dyDescent="0.25">
      <c r="A1104" s="1">
        <v>33739</v>
      </c>
      <c r="B1104">
        <v>8.64</v>
      </c>
      <c r="C1104" s="11">
        <f t="shared" si="68"/>
        <v>8.6400000000000005E-2</v>
      </c>
      <c r="D1104">
        <f t="shared" si="69"/>
        <v>1992</v>
      </c>
      <c r="E1104" t="str">
        <f t="shared" si="70"/>
        <v>May-1992</v>
      </c>
      <c r="F1104" s="12">
        <f t="shared" si="71"/>
        <v>6.36</v>
      </c>
    </row>
    <row r="1105" spans="1:6" x14ac:dyDescent="0.25">
      <c r="A1105" s="1">
        <v>33746</v>
      </c>
      <c r="B1105">
        <v>8.5299999999999994</v>
      </c>
      <c r="C1105" s="11">
        <f t="shared" si="68"/>
        <v>8.5299999999999987E-2</v>
      </c>
      <c r="D1105">
        <f t="shared" si="69"/>
        <v>1992</v>
      </c>
      <c r="E1105" t="str">
        <f t="shared" si="70"/>
        <v>May-1992</v>
      </c>
      <c r="F1105" s="12">
        <f t="shared" si="71"/>
        <v>6.36</v>
      </c>
    </row>
    <row r="1106" spans="1:6" x14ac:dyDescent="0.25">
      <c r="A1106" s="1">
        <v>33753</v>
      </c>
      <c r="B1106">
        <v>8.6</v>
      </c>
      <c r="C1106" s="11">
        <f t="shared" si="68"/>
        <v>8.5999999999999993E-2</v>
      </c>
      <c r="D1106">
        <f t="shared" si="69"/>
        <v>1992</v>
      </c>
      <c r="E1106" t="str">
        <f t="shared" si="70"/>
        <v>May-1992</v>
      </c>
      <c r="F1106" s="12">
        <f t="shared" si="71"/>
        <v>6.36</v>
      </c>
    </row>
    <row r="1107" spans="1:6" x14ac:dyDescent="0.25">
      <c r="A1107" s="1">
        <v>33760</v>
      </c>
      <c r="B1107">
        <v>8.59</v>
      </c>
      <c r="C1107" s="11">
        <f t="shared" si="68"/>
        <v>8.5900000000000004E-2</v>
      </c>
      <c r="D1107">
        <f t="shared" si="69"/>
        <v>1992</v>
      </c>
      <c r="E1107" t="str">
        <f t="shared" si="70"/>
        <v>Jun-1992</v>
      </c>
      <c r="F1107" s="12">
        <f t="shared" si="71"/>
        <v>6.36</v>
      </c>
    </row>
    <row r="1108" spans="1:6" x14ac:dyDescent="0.25">
      <c r="A1108" s="1">
        <v>33767</v>
      </c>
      <c r="B1108">
        <v>8.5399999999999991</v>
      </c>
      <c r="C1108" s="11">
        <f t="shared" si="68"/>
        <v>8.539999999999999E-2</v>
      </c>
      <c r="D1108">
        <f t="shared" si="69"/>
        <v>1992</v>
      </c>
      <c r="E1108" t="str">
        <f t="shared" si="70"/>
        <v>Jun-1992</v>
      </c>
      <c r="F1108" s="12">
        <f t="shared" si="71"/>
        <v>6.36</v>
      </c>
    </row>
    <row r="1109" spans="1:6" x14ac:dyDescent="0.25">
      <c r="A1109" s="1">
        <v>33774</v>
      </c>
      <c r="B1109">
        <v>8.48</v>
      </c>
      <c r="C1109" s="11">
        <f t="shared" si="68"/>
        <v>8.48E-2</v>
      </c>
      <c r="D1109">
        <f t="shared" si="69"/>
        <v>1992</v>
      </c>
      <c r="E1109" t="str">
        <f t="shared" si="70"/>
        <v>Jun-1992</v>
      </c>
      <c r="F1109" s="12">
        <f t="shared" si="71"/>
        <v>6.36</v>
      </c>
    </row>
    <row r="1110" spans="1:6" x14ac:dyDescent="0.25">
      <c r="A1110" s="1">
        <v>33781</v>
      </c>
      <c r="B1110">
        <v>8.43</v>
      </c>
      <c r="C1110" s="11">
        <f t="shared" si="68"/>
        <v>8.43E-2</v>
      </c>
      <c r="D1110">
        <f t="shared" si="69"/>
        <v>1992</v>
      </c>
      <c r="E1110" t="str">
        <f t="shared" si="70"/>
        <v>Jun-1992</v>
      </c>
      <c r="F1110" s="12">
        <f t="shared" si="71"/>
        <v>6.36</v>
      </c>
    </row>
    <row r="1111" spans="1:6" x14ac:dyDescent="0.25">
      <c r="A1111" s="1">
        <v>33788</v>
      </c>
      <c r="B1111">
        <v>8.2899999999999991</v>
      </c>
      <c r="C1111" s="11">
        <f t="shared" si="68"/>
        <v>8.2899999999999988E-2</v>
      </c>
      <c r="D1111">
        <f t="shared" si="69"/>
        <v>1992</v>
      </c>
      <c r="E1111" t="str">
        <f t="shared" si="70"/>
        <v>Jul-1992</v>
      </c>
      <c r="F1111" s="12">
        <f t="shared" si="71"/>
        <v>6.36</v>
      </c>
    </row>
    <row r="1112" spans="1:6" x14ac:dyDescent="0.25">
      <c r="A1112" s="1">
        <v>33795</v>
      </c>
      <c r="B1112">
        <v>8.1300000000000008</v>
      </c>
      <c r="C1112" s="11">
        <f t="shared" si="68"/>
        <v>8.1300000000000011E-2</v>
      </c>
      <c r="D1112">
        <f t="shared" si="69"/>
        <v>1992</v>
      </c>
      <c r="E1112" t="str">
        <f t="shared" si="70"/>
        <v>Jul-1992</v>
      </c>
      <c r="F1112" s="12">
        <f t="shared" si="71"/>
        <v>6.36</v>
      </c>
    </row>
    <row r="1113" spans="1:6" x14ac:dyDescent="0.25">
      <c r="A1113" s="1">
        <v>33802</v>
      </c>
      <c r="B1113">
        <v>8.09</v>
      </c>
      <c r="C1113" s="11">
        <f t="shared" si="68"/>
        <v>8.09E-2</v>
      </c>
      <c r="D1113">
        <f t="shared" si="69"/>
        <v>1992</v>
      </c>
      <c r="E1113" t="str">
        <f t="shared" si="70"/>
        <v>Jul-1992</v>
      </c>
      <c r="F1113" s="12">
        <f t="shared" si="71"/>
        <v>6.36</v>
      </c>
    </row>
    <row r="1114" spans="1:6" x14ac:dyDescent="0.25">
      <c r="A1114" s="1">
        <v>33809</v>
      </c>
      <c r="B1114">
        <v>8.08</v>
      </c>
      <c r="C1114" s="11">
        <f t="shared" si="68"/>
        <v>8.0799999999999997E-2</v>
      </c>
      <c r="D1114">
        <f t="shared" si="69"/>
        <v>1992</v>
      </c>
      <c r="E1114" t="str">
        <f t="shared" si="70"/>
        <v>Jul-1992</v>
      </c>
      <c r="F1114" s="12">
        <f t="shared" si="71"/>
        <v>6.36</v>
      </c>
    </row>
    <row r="1115" spans="1:6" x14ac:dyDescent="0.25">
      <c r="A1115" s="1">
        <v>33816</v>
      </c>
      <c r="B1115">
        <v>8.0500000000000007</v>
      </c>
      <c r="C1115" s="11">
        <f t="shared" si="68"/>
        <v>8.0500000000000002E-2</v>
      </c>
      <c r="D1115">
        <f t="shared" si="69"/>
        <v>1992</v>
      </c>
      <c r="E1115" t="str">
        <f t="shared" si="70"/>
        <v>Jul-1992</v>
      </c>
      <c r="F1115" s="12">
        <f t="shared" si="71"/>
        <v>6.36</v>
      </c>
    </row>
    <row r="1116" spans="1:6" x14ac:dyDescent="0.25">
      <c r="A1116" s="1">
        <v>33823</v>
      </c>
      <c r="B1116">
        <v>8.06</v>
      </c>
      <c r="C1116" s="11">
        <f t="shared" si="68"/>
        <v>8.0600000000000005E-2</v>
      </c>
      <c r="D1116">
        <f t="shared" si="69"/>
        <v>1992</v>
      </c>
      <c r="E1116" t="str">
        <f t="shared" si="70"/>
        <v>Aug-1992</v>
      </c>
      <c r="F1116" s="12">
        <f t="shared" si="71"/>
        <v>6.36</v>
      </c>
    </row>
    <row r="1117" spans="1:6" x14ac:dyDescent="0.25">
      <c r="A1117" s="1">
        <v>33830</v>
      </c>
      <c r="B1117">
        <v>7.96</v>
      </c>
      <c r="C1117" s="11">
        <f t="shared" si="68"/>
        <v>7.9600000000000004E-2</v>
      </c>
      <c r="D1117">
        <f t="shared" si="69"/>
        <v>1992</v>
      </c>
      <c r="E1117" t="str">
        <f t="shared" si="70"/>
        <v>Aug-1992</v>
      </c>
      <c r="F1117" s="12">
        <f t="shared" si="71"/>
        <v>6.36</v>
      </c>
    </row>
    <row r="1118" spans="1:6" x14ac:dyDescent="0.25">
      <c r="A1118" s="1">
        <v>33837</v>
      </c>
      <c r="B1118">
        <v>7.87</v>
      </c>
      <c r="C1118" s="11">
        <f t="shared" si="68"/>
        <v>7.8700000000000006E-2</v>
      </c>
      <c r="D1118">
        <f t="shared" si="69"/>
        <v>1992</v>
      </c>
      <c r="E1118" t="str">
        <f t="shared" si="70"/>
        <v>Aug-1992</v>
      </c>
      <c r="F1118" s="12">
        <f t="shared" si="71"/>
        <v>6.36</v>
      </c>
    </row>
    <row r="1119" spans="1:6" x14ac:dyDescent="0.25">
      <c r="A1119" s="1">
        <v>33844</v>
      </c>
      <c r="B1119">
        <v>8.01</v>
      </c>
      <c r="C1119" s="11">
        <f t="shared" si="68"/>
        <v>8.0100000000000005E-2</v>
      </c>
      <c r="D1119">
        <f t="shared" si="69"/>
        <v>1992</v>
      </c>
      <c r="E1119" t="str">
        <f t="shared" si="70"/>
        <v>Aug-1992</v>
      </c>
      <c r="F1119" s="12">
        <f t="shared" si="71"/>
        <v>6.36</v>
      </c>
    </row>
    <row r="1120" spans="1:6" x14ac:dyDescent="0.25">
      <c r="A1120" s="1">
        <v>33851</v>
      </c>
      <c r="B1120">
        <v>7.94</v>
      </c>
      <c r="C1120" s="11">
        <f t="shared" si="68"/>
        <v>7.9399999999999998E-2</v>
      </c>
      <c r="D1120">
        <f t="shared" si="69"/>
        <v>1992</v>
      </c>
      <c r="E1120" t="str">
        <f t="shared" si="70"/>
        <v>Sep-1992</v>
      </c>
      <c r="F1120" s="12">
        <f t="shared" si="71"/>
        <v>6.36</v>
      </c>
    </row>
    <row r="1121" spans="1:6" x14ac:dyDescent="0.25">
      <c r="A1121" s="1">
        <v>33858</v>
      </c>
      <c r="B1121">
        <v>7.84</v>
      </c>
      <c r="C1121" s="11">
        <f t="shared" si="68"/>
        <v>7.8399999999999997E-2</v>
      </c>
      <c r="D1121">
        <f t="shared" si="69"/>
        <v>1992</v>
      </c>
      <c r="E1121" t="str">
        <f t="shared" si="70"/>
        <v>Sep-1992</v>
      </c>
      <c r="F1121" s="12">
        <f t="shared" si="71"/>
        <v>6.36</v>
      </c>
    </row>
    <row r="1122" spans="1:6" x14ac:dyDescent="0.25">
      <c r="A1122" s="1">
        <v>33865</v>
      </c>
      <c r="B1122">
        <v>7.89</v>
      </c>
      <c r="C1122" s="11">
        <f t="shared" si="68"/>
        <v>7.8899999999999998E-2</v>
      </c>
      <c r="D1122">
        <f t="shared" si="69"/>
        <v>1992</v>
      </c>
      <c r="E1122" t="str">
        <f t="shared" si="70"/>
        <v>Sep-1992</v>
      </c>
      <c r="F1122" s="12">
        <f t="shared" si="71"/>
        <v>6.36</v>
      </c>
    </row>
    <row r="1123" spans="1:6" x14ac:dyDescent="0.25">
      <c r="A1123" s="1">
        <v>33871</v>
      </c>
      <c r="B1123">
        <v>8.02</v>
      </c>
      <c r="C1123" s="11">
        <f t="shared" si="68"/>
        <v>8.0199999999999994E-2</v>
      </c>
      <c r="D1123">
        <f t="shared" si="69"/>
        <v>1992</v>
      </c>
      <c r="E1123" t="str">
        <f t="shared" si="70"/>
        <v>Sep-1992</v>
      </c>
      <c r="F1123" s="12">
        <f t="shared" si="71"/>
        <v>6.36</v>
      </c>
    </row>
    <row r="1124" spans="1:6" x14ac:dyDescent="0.25">
      <c r="A1124" s="1">
        <v>33879</v>
      </c>
      <c r="B1124">
        <v>7.93</v>
      </c>
      <c r="C1124" s="11">
        <f t="shared" si="68"/>
        <v>7.9299999999999995E-2</v>
      </c>
      <c r="D1124">
        <f t="shared" si="69"/>
        <v>1992</v>
      </c>
      <c r="E1124" t="str">
        <f t="shared" si="70"/>
        <v>Oct-1992</v>
      </c>
      <c r="F1124" s="12">
        <f t="shared" si="71"/>
        <v>6.36</v>
      </c>
    </row>
    <row r="1125" spans="1:6" x14ac:dyDescent="0.25">
      <c r="A1125" s="1">
        <v>33886</v>
      </c>
      <c r="B1125">
        <v>8.01</v>
      </c>
      <c r="C1125" s="11">
        <f t="shared" si="68"/>
        <v>8.0100000000000005E-2</v>
      </c>
      <c r="D1125">
        <f t="shared" si="69"/>
        <v>1992</v>
      </c>
      <c r="E1125" t="str">
        <f t="shared" si="70"/>
        <v>Oct-1992</v>
      </c>
      <c r="F1125" s="12">
        <f t="shared" si="71"/>
        <v>6.36</v>
      </c>
    </row>
    <row r="1126" spans="1:6" x14ac:dyDescent="0.25">
      <c r="A1126" s="1">
        <v>33893</v>
      </c>
      <c r="B1126">
        <v>8.06</v>
      </c>
      <c r="C1126" s="11">
        <f t="shared" si="68"/>
        <v>8.0600000000000005E-2</v>
      </c>
      <c r="D1126">
        <f t="shared" si="69"/>
        <v>1992</v>
      </c>
      <c r="E1126" t="str">
        <f t="shared" si="70"/>
        <v>Oct-1992</v>
      </c>
      <c r="F1126" s="12">
        <f t="shared" si="71"/>
        <v>6.36</v>
      </c>
    </row>
    <row r="1127" spans="1:6" x14ac:dyDescent="0.25">
      <c r="A1127" s="1">
        <v>33900</v>
      </c>
      <c r="B1127">
        <v>8.23</v>
      </c>
      <c r="C1127" s="11">
        <f t="shared" si="68"/>
        <v>8.2299999999999998E-2</v>
      </c>
      <c r="D1127">
        <f t="shared" si="69"/>
        <v>1992</v>
      </c>
      <c r="E1127" t="str">
        <f t="shared" si="70"/>
        <v>Oct-1992</v>
      </c>
      <c r="F1127" s="12">
        <f t="shared" si="71"/>
        <v>6.36</v>
      </c>
    </row>
    <row r="1128" spans="1:6" x14ac:dyDescent="0.25">
      <c r="A1128" s="1">
        <v>33907</v>
      </c>
      <c r="B1128">
        <v>8.2100000000000009</v>
      </c>
      <c r="C1128" s="11">
        <f t="shared" si="68"/>
        <v>8.2100000000000006E-2</v>
      </c>
      <c r="D1128">
        <f t="shared" si="69"/>
        <v>1992</v>
      </c>
      <c r="E1128" t="str">
        <f t="shared" si="70"/>
        <v>Oct-1992</v>
      </c>
      <c r="F1128" s="12">
        <f t="shared" si="71"/>
        <v>6.36</v>
      </c>
    </row>
    <row r="1129" spans="1:6" x14ac:dyDescent="0.25">
      <c r="A1129" s="1">
        <v>33914</v>
      </c>
      <c r="B1129">
        <v>8.2899999999999991</v>
      </c>
      <c r="C1129" s="11">
        <f t="shared" si="68"/>
        <v>8.2899999999999988E-2</v>
      </c>
      <c r="D1129">
        <f t="shared" si="69"/>
        <v>1992</v>
      </c>
      <c r="E1129" t="str">
        <f t="shared" si="70"/>
        <v>Nov-1992</v>
      </c>
      <c r="F1129" s="12">
        <f t="shared" si="71"/>
        <v>6.36</v>
      </c>
    </row>
    <row r="1130" spans="1:6" x14ac:dyDescent="0.25">
      <c r="A1130" s="1">
        <v>33921</v>
      </c>
      <c r="B1130">
        <v>8.32</v>
      </c>
      <c r="C1130" s="11">
        <f t="shared" si="68"/>
        <v>8.3199999999999996E-2</v>
      </c>
      <c r="D1130">
        <f t="shared" si="69"/>
        <v>1992</v>
      </c>
      <c r="E1130" t="str">
        <f t="shared" si="70"/>
        <v>Nov-1992</v>
      </c>
      <c r="F1130" s="12">
        <f t="shared" si="71"/>
        <v>6.36</v>
      </c>
    </row>
    <row r="1131" spans="1:6" x14ac:dyDescent="0.25">
      <c r="A1131" s="1">
        <v>33928</v>
      </c>
      <c r="B1131">
        <v>8.32</v>
      </c>
      <c r="C1131" s="11">
        <f t="shared" si="68"/>
        <v>8.3199999999999996E-2</v>
      </c>
      <c r="D1131">
        <f t="shared" si="69"/>
        <v>1992</v>
      </c>
      <c r="E1131" t="str">
        <f t="shared" si="70"/>
        <v>Nov-1992</v>
      </c>
      <c r="F1131" s="12">
        <f t="shared" si="71"/>
        <v>6.36</v>
      </c>
    </row>
    <row r="1132" spans="1:6" x14ac:dyDescent="0.25">
      <c r="A1132" s="1">
        <v>33935</v>
      </c>
      <c r="B1132">
        <v>8.2899999999999991</v>
      </c>
      <c r="C1132" s="11">
        <f t="shared" si="68"/>
        <v>8.2899999999999988E-2</v>
      </c>
      <c r="D1132">
        <f t="shared" si="69"/>
        <v>1992</v>
      </c>
      <c r="E1132" t="str">
        <f t="shared" si="70"/>
        <v>Nov-1992</v>
      </c>
      <c r="F1132" s="12">
        <f t="shared" si="71"/>
        <v>6.36</v>
      </c>
    </row>
    <row r="1133" spans="1:6" x14ac:dyDescent="0.25">
      <c r="A1133" s="1">
        <v>33942</v>
      </c>
      <c r="B1133">
        <v>8.34</v>
      </c>
      <c r="C1133" s="11">
        <f t="shared" si="68"/>
        <v>8.3400000000000002E-2</v>
      </c>
      <c r="D1133">
        <f t="shared" si="69"/>
        <v>1992</v>
      </c>
      <c r="E1133" t="str">
        <f t="shared" si="70"/>
        <v>Dec-1992</v>
      </c>
      <c r="F1133" s="12">
        <f t="shared" si="71"/>
        <v>6.36</v>
      </c>
    </row>
    <row r="1134" spans="1:6" x14ac:dyDescent="0.25">
      <c r="A1134" s="1">
        <v>33949</v>
      </c>
      <c r="B1134">
        <v>8.23</v>
      </c>
      <c r="C1134" s="11">
        <f t="shared" si="68"/>
        <v>8.2299999999999998E-2</v>
      </c>
      <c r="D1134">
        <f t="shared" si="69"/>
        <v>1992</v>
      </c>
      <c r="E1134" t="str">
        <f t="shared" si="70"/>
        <v>Dec-1992</v>
      </c>
      <c r="F1134" s="12">
        <f t="shared" si="71"/>
        <v>6.36</v>
      </c>
    </row>
    <row r="1135" spans="1:6" x14ac:dyDescent="0.25">
      <c r="A1135" s="1">
        <v>33956</v>
      </c>
      <c r="B1135">
        <v>8.19</v>
      </c>
      <c r="C1135" s="11">
        <f t="shared" si="68"/>
        <v>8.1900000000000001E-2</v>
      </c>
      <c r="D1135">
        <f t="shared" si="69"/>
        <v>1992</v>
      </c>
      <c r="E1135" t="str">
        <f t="shared" si="70"/>
        <v>Dec-1992</v>
      </c>
      <c r="F1135" s="12">
        <f t="shared" si="71"/>
        <v>6.36</v>
      </c>
    </row>
    <row r="1136" spans="1:6" x14ac:dyDescent="0.25">
      <c r="A1136" s="1">
        <v>33963</v>
      </c>
      <c r="B1136">
        <v>8.1300000000000008</v>
      </c>
      <c r="C1136" s="11">
        <f t="shared" si="68"/>
        <v>8.1300000000000011E-2</v>
      </c>
      <c r="D1136">
        <f t="shared" si="69"/>
        <v>1992</v>
      </c>
      <c r="E1136" t="str">
        <f t="shared" si="70"/>
        <v>Dec-1992</v>
      </c>
      <c r="F1136" s="12">
        <f t="shared" si="71"/>
        <v>6.36</v>
      </c>
    </row>
    <row r="1137" spans="1:6" x14ac:dyDescent="0.25">
      <c r="A1137" s="1">
        <v>33969</v>
      </c>
      <c r="B1137">
        <v>8.14</v>
      </c>
      <c r="C1137" s="11">
        <f t="shared" si="68"/>
        <v>8.14E-2</v>
      </c>
      <c r="D1137">
        <f t="shared" si="69"/>
        <v>1992</v>
      </c>
      <c r="E1137" t="str">
        <f t="shared" si="70"/>
        <v>Dec-1992</v>
      </c>
      <c r="F1137" s="12">
        <f t="shared" si="71"/>
        <v>6.36</v>
      </c>
    </row>
    <row r="1138" spans="1:6" x14ac:dyDescent="0.25">
      <c r="A1138" s="1">
        <v>33977</v>
      </c>
      <c r="B1138">
        <v>8.07</v>
      </c>
      <c r="C1138" s="11">
        <f t="shared" si="68"/>
        <v>8.0700000000000008E-2</v>
      </c>
      <c r="D1138">
        <f t="shared" si="69"/>
        <v>1993</v>
      </c>
      <c r="E1138" t="str">
        <f t="shared" si="70"/>
        <v>Jan-1993</v>
      </c>
      <c r="F1138" s="12">
        <f t="shared" si="71"/>
        <v>6.36</v>
      </c>
    </row>
    <row r="1139" spans="1:6" x14ac:dyDescent="0.25">
      <c r="A1139" s="1">
        <v>33984</v>
      </c>
      <c r="B1139">
        <v>8.0399999999999991</v>
      </c>
      <c r="C1139" s="11">
        <f t="shared" si="68"/>
        <v>8.0399999999999985E-2</v>
      </c>
      <c r="D1139">
        <f t="shared" si="69"/>
        <v>1993</v>
      </c>
      <c r="E1139" t="str">
        <f t="shared" si="70"/>
        <v>Jan-1993</v>
      </c>
      <c r="F1139" s="12">
        <f t="shared" si="71"/>
        <v>6.36</v>
      </c>
    </row>
    <row r="1140" spans="1:6" x14ac:dyDescent="0.25">
      <c r="A1140" s="1">
        <v>33991</v>
      </c>
      <c r="B1140">
        <v>8</v>
      </c>
      <c r="C1140" s="11">
        <f t="shared" si="68"/>
        <v>0.08</v>
      </c>
      <c r="D1140">
        <f t="shared" si="69"/>
        <v>1993</v>
      </c>
      <c r="E1140" t="str">
        <f t="shared" si="70"/>
        <v>Jan-1993</v>
      </c>
      <c r="F1140" s="12">
        <f t="shared" si="71"/>
        <v>6.36</v>
      </c>
    </row>
    <row r="1141" spans="1:6" x14ac:dyDescent="0.25">
      <c r="A1141" s="1">
        <v>33998</v>
      </c>
      <c r="B1141">
        <v>7.86</v>
      </c>
      <c r="C1141" s="11">
        <f t="shared" si="68"/>
        <v>7.8600000000000003E-2</v>
      </c>
      <c r="D1141">
        <f t="shared" si="69"/>
        <v>1993</v>
      </c>
      <c r="E1141" t="str">
        <f t="shared" si="70"/>
        <v>Jan-1993</v>
      </c>
      <c r="F1141" s="12">
        <f t="shared" si="71"/>
        <v>6.36</v>
      </c>
    </row>
    <row r="1142" spans="1:6" x14ac:dyDescent="0.25">
      <c r="A1142" s="1">
        <v>34005</v>
      </c>
      <c r="B1142">
        <v>7.8</v>
      </c>
      <c r="C1142" s="11">
        <f t="shared" si="68"/>
        <v>7.8E-2</v>
      </c>
      <c r="D1142">
        <f t="shared" si="69"/>
        <v>1993</v>
      </c>
      <c r="E1142" t="str">
        <f t="shared" si="70"/>
        <v>Feb-1993</v>
      </c>
      <c r="F1142" s="12">
        <f t="shared" si="71"/>
        <v>6.36</v>
      </c>
    </row>
    <row r="1143" spans="1:6" x14ac:dyDescent="0.25">
      <c r="A1143" s="1">
        <v>34012</v>
      </c>
      <c r="B1143">
        <v>7.75</v>
      </c>
      <c r="C1143" s="11">
        <f t="shared" si="68"/>
        <v>7.7499999999999999E-2</v>
      </c>
      <c r="D1143">
        <f t="shared" si="69"/>
        <v>1993</v>
      </c>
      <c r="E1143" t="str">
        <f t="shared" si="70"/>
        <v>Feb-1993</v>
      </c>
      <c r="F1143" s="12">
        <f t="shared" si="71"/>
        <v>6.36</v>
      </c>
    </row>
    <row r="1144" spans="1:6" x14ac:dyDescent="0.25">
      <c r="A1144" s="1">
        <v>34019</v>
      </c>
      <c r="B1144">
        <v>7.65</v>
      </c>
      <c r="C1144" s="11">
        <f t="shared" si="68"/>
        <v>7.6499999999999999E-2</v>
      </c>
      <c r="D1144">
        <f t="shared" si="69"/>
        <v>1993</v>
      </c>
      <c r="E1144" t="str">
        <f t="shared" si="70"/>
        <v>Feb-1993</v>
      </c>
      <c r="F1144" s="12">
        <f t="shared" si="71"/>
        <v>6.36</v>
      </c>
    </row>
    <row r="1145" spans="1:6" x14ac:dyDescent="0.25">
      <c r="A1145" s="1">
        <v>34026</v>
      </c>
      <c r="B1145">
        <v>7.53</v>
      </c>
      <c r="C1145" s="11">
        <f t="shared" si="68"/>
        <v>7.5300000000000006E-2</v>
      </c>
      <c r="D1145">
        <f t="shared" si="69"/>
        <v>1993</v>
      </c>
      <c r="E1145" t="str">
        <f t="shared" si="70"/>
        <v>Feb-1993</v>
      </c>
      <c r="F1145" s="12">
        <f t="shared" si="71"/>
        <v>6.36</v>
      </c>
    </row>
    <row r="1146" spans="1:6" x14ac:dyDescent="0.25">
      <c r="A1146" s="1">
        <v>34033</v>
      </c>
      <c r="B1146">
        <v>7.44</v>
      </c>
      <c r="C1146" s="11">
        <f t="shared" si="68"/>
        <v>7.4400000000000008E-2</v>
      </c>
      <c r="D1146">
        <f t="shared" si="69"/>
        <v>1993</v>
      </c>
      <c r="E1146" t="str">
        <f t="shared" si="70"/>
        <v>Mar-1993</v>
      </c>
      <c r="F1146" s="12">
        <f t="shared" si="71"/>
        <v>6.36</v>
      </c>
    </row>
    <row r="1147" spans="1:6" x14ac:dyDescent="0.25">
      <c r="A1147" s="1">
        <v>34040</v>
      </c>
      <c r="B1147">
        <v>7.47</v>
      </c>
      <c r="C1147" s="11">
        <f t="shared" si="68"/>
        <v>7.4700000000000003E-2</v>
      </c>
      <c r="D1147">
        <f t="shared" si="69"/>
        <v>1993</v>
      </c>
      <c r="E1147" t="str">
        <f t="shared" si="70"/>
        <v>Mar-1993</v>
      </c>
      <c r="F1147" s="12">
        <f t="shared" si="71"/>
        <v>6.36</v>
      </c>
    </row>
    <row r="1148" spans="1:6" x14ac:dyDescent="0.25">
      <c r="A1148" s="1">
        <v>34047</v>
      </c>
      <c r="B1148">
        <v>7.57</v>
      </c>
      <c r="C1148" s="11">
        <f t="shared" si="68"/>
        <v>7.5700000000000003E-2</v>
      </c>
      <c r="D1148">
        <f t="shared" si="69"/>
        <v>1993</v>
      </c>
      <c r="E1148" t="str">
        <f t="shared" si="70"/>
        <v>Mar-1993</v>
      </c>
      <c r="F1148" s="12">
        <f t="shared" si="71"/>
        <v>6.36</v>
      </c>
    </row>
    <row r="1149" spans="1:6" x14ac:dyDescent="0.25">
      <c r="A1149" s="1">
        <v>34054</v>
      </c>
      <c r="B1149">
        <v>7.5</v>
      </c>
      <c r="C1149" s="11">
        <f t="shared" si="68"/>
        <v>7.4999999999999997E-2</v>
      </c>
      <c r="D1149">
        <f t="shared" si="69"/>
        <v>1993</v>
      </c>
      <c r="E1149" t="str">
        <f t="shared" si="70"/>
        <v>Mar-1993</v>
      </c>
      <c r="F1149" s="12">
        <f t="shared" si="71"/>
        <v>6.36</v>
      </c>
    </row>
    <row r="1150" spans="1:6" x14ac:dyDescent="0.25">
      <c r="A1150" s="1">
        <v>34061</v>
      </c>
      <c r="B1150">
        <v>7.53</v>
      </c>
      <c r="C1150" s="11">
        <f t="shared" si="68"/>
        <v>7.5300000000000006E-2</v>
      </c>
      <c r="D1150">
        <f t="shared" si="69"/>
        <v>1993</v>
      </c>
      <c r="E1150" t="str">
        <f t="shared" si="70"/>
        <v>Apr-1993</v>
      </c>
      <c r="F1150" s="12">
        <f t="shared" si="71"/>
        <v>6.36</v>
      </c>
    </row>
    <row r="1151" spans="1:6" x14ac:dyDescent="0.25">
      <c r="A1151" s="1">
        <v>34068</v>
      </c>
      <c r="B1151">
        <v>7.57</v>
      </c>
      <c r="C1151" s="11">
        <f t="shared" si="68"/>
        <v>7.5700000000000003E-2</v>
      </c>
      <c r="D1151">
        <f t="shared" si="69"/>
        <v>1993</v>
      </c>
      <c r="E1151" t="str">
        <f t="shared" si="70"/>
        <v>Apr-1993</v>
      </c>
      <c r="F1151" s="12">
        <f t="shared" si="71"/>
        <v>6.36</v>
      </c>
    </row>
    <row r="1152" spans="1:6" x14ac:dyDescent="0.25">
      <c r="A1152" s="1">
        <v>34075</v>
      </c>
      <c r="B1152">
        <v>7.45</v>
      </c>
      <c r="C1152" s="11">
        <f t="shared" si="68"/>
        <v>7.4499999999999997E-2</v>
      </c>
      <c r="D1152">
        <f t="shared" si="69"/>
        <v>1993</v>
      </c>
      <c r="E1152" t="str">
        <f t="shared" si="70"/>
        <v>Apr-1993</v>
      </c>
      <c r="F1152" s="12">
        <f t="shared" si="71"/>
        <v>6.36</v>
      </c>
    </row>
    <row r="1153" spans="1:6" x14ac:dyDescent="0.25">
      <c r="A1153" s="1">
        <v>34082</v>
      </c>
      <c r="B1153">
        <v>7.38</v>
      </c>
      <c r="C1153" s="11">
        <f t="shared" si="68"/>
        <v>7.3800000000000004E-2</v>
      </c>
      <c r="D1153">
        <f t="shared" si="69"/>
        <v>1993</v>
      </c>
      <c r="E1153" t="str">
        <f t="shared" si="70"/>
        <v>Apr-1993</v>
      </c>
      <c r="F1153" s="12">
        <f t="shared" si="71"/>
        <v>6.36</v>
      </c>
    </row>
    <row r="1154" spans="1:6" x14ac:dyDescent="0.25">
      <c r="A1154" s="1">
        <v>34089</v>
      </c>
      <c r="B1154">
        <v>7.43</v>
      </c>
      <c r="C1154" s="11">
        <f t="shared" ref="C1154:C1217" si="72">B1154/100</f>
        <v>7.4299999999999991E-2</v>
      </c>
      <c r="D1154">
        <f t="shared" ref="D1154:D1217" si="73">YEAR(A1154)</f>
        <v>1993</v>
      </c>
      <c r="E1154" t="str">
        <f t="shared" ref="E1154:E1217" si="74">TEXT(A1154,"MMM-YYYY")</f>
        <v>Apr-1993</v>
      </c>
      <c r="F1154" s="12">
        <f t="shared" ref="F1154:F1217" si="75">$H$2</f>
        <v>6.36</v>
      </c>
    </row>
    <row r="1155" spans="1:6" x14ac:dyDescent="0.25">
      <c r="A1155" s="1">
        <v>34096</v>
      </c>
      <c r="B1155">
        <v>7.42</v>
      </c>
      <c r="C1155" s="11">
        <f t="shared" si="72"/>
        <v>7.4200000000000002E-2</v>
      </c>
      <c r="D1155">
        <f t="shared" si="73"/>
        <v>1993</v>
      </c>
      <c r="E1155" t="str">
        <f t="shared" si="74"/>
        <v>May-1993</v>
      </c>
      <c r="F1155" s="12">
        <f t="shared" si="75"/>
        <v>6.36</v>
      </c>
    </row>
    <row r="1156" spans="1:6" x14ac:dyDescent="0.25">
      <c r="A1156" s="1">
        <v>34103</v>
      </c>
      <c r="B1156">
        <v>7.42</v>
      </c>
      <c r="C1156" s="11">
        <f t="shared" si="72"/>
        <v>7.4200000000000002E-2</v>
      </c>
      <c r="D1156">
        <f t="shared" si="73"/>
        <v>1993</v>
      </c>
      <c r="E1156" t="str">
        <f t="shared" si="74"/>
        <v>May-1993</v>
      </c>
      <c r="F1156" s="12">
        <f t="shared" si="75"/>
        <v>6.36</v>
      </c>
    </row>
    <row r="1157" spans="1:6" x14ac:dyDescent="0.25">
      <c r="A1157" s="1">
        <v>34110</v>
      </c>
      <c r="B1157">
        <v>7.52</v>
      </c>
      <c r="C1157" s="11">
        <f t="shared" si="72"/>
        <v>7.5199999999999989E-2</v>
      </c>
      <c r="D1157">
        <f t="shared" si="73"/>
        <v>1993</v>
      </c>
      <c r="E1157" t="str">
        <f t="shared" si="74"/>
        <v>May-1993</v>
      </c>
      <c r="F1157" s="12">
        <f t="shared" si="75"/>
        <v>6.36</v>
      </c>
    </row>
    <row r="1158" spans="1:6" x14ac:dyDescent="0.25">
      <c r="A1158" s="1">
        <v>34117</v>
      </c>
      <c r="B1158">
        <v>7.5</v>
      </c>
      <c r="C1158" s="11">
        <f t="shared" si="72"/>
        <v>7.4999999999999997E-2</v>
      </c>
      <c r="D1158">
        <f t="shared" si="73"/>
        <v>1993</v>
      </c>
      <c r="E1158" t="str">
        <f t="shared" si="74"/>
        <v>May-1993</v>
      </c>
      <c r="F1158" s="12">
        <f t="shared" si="75"/>
        <v>6.36</v>
      </c>
    </row>
    <row r="1159" spans="1:6" x14ac:dyDescent="0.25">
      <c r="A1159" s="1">
        <v>34124</v>
      </c>
      <c r="B1159">
        <v>7.47</v>
      </c>
      <c r="C1159" s="11">
        <f t="shared" si="72"/>
        <v>7.4700000000000003E-2</v>
      </c>
      <c r="D1159">
        <f t="shared" si="73"/>
        <v>1993</v>
      </c>
      <c r="E1159" t="str">
        <f t="shared" si="74"/>
        <v>Jun-1993</v>
      </c>
      <c r="F1159" s="12">
        <f t="shared" si="75"/>
        <v>6.36</v>
      </c>
    </row>
    <row r="1160" spans="1:6" x14ac:dyDescent="0.25">
      <c r="A1160" s="1">
        <v>34131</v>
      </c>
      <c r="B1160">
        <v>7.48</v>
      </c>
      <c r="C1160" s="11">
        <f t="shared" si="72"/>
        <v>7.4800000000000005E-2</v>
      </c>
      <c r="D1160">
        <f t="shared" si="73"/>
        <v>1993</v>
      </c>
      <c r="E1160" t="str">
        <f t="shared" si="74"/>
        <v>Jun-1993</v>
      </c>
      <c r="F1160" s="12">
        <f t="shared" si="75"/>
        <v>6.36</v>
      </c>
    </row>
    <row r="1161" spans="1:6" x14ac:dyDescent="0.25">
      <c r="A1161" s="1">
        <v>34138</v>
      </c>
      <c r="B1161">
        <v>7.38</v>
      </c>
      <c r="C1161" s="11">
        <f t="shared" si="72"/>
        <v>7.3800000000000004E-2</v>
      </c>
      <c r="D1161">
        <f t="shared" si="73"/>
        <v>1993</v>
      </c>
      <c r="E1161" t="str">
        <f t="shared" si="74"/>
        <v>Jun-1993</v>
      </c>
      <c r="F1161" s="12">
        <f t="shared" si="75"/>
        <v>6.36</v>
      </c>
    </row>
    <row r="1162" spans="1:6" x14ac:dyDescent="0.25">
      <c r="A1162" s="1">
        <v>34145</v>
      </c>
      <c r="B1162">
        <v>7.34</v>
      </c>
      <c r="C1162" s="11">
        <f t="shared" si="72"/>
        <v>7.3399999999999993E-2</v>
      </c>
      <c r="D1162">
        <f t="shared" si="73"/>
        <v>1993</v>
      </c>
      <c r="E1162" t="str">
        <f t="shared" si="74"/>
        <v>Jun-1993</v>
      </c>
      <c r="F1162" s="12">
        <f t="shared" si="75"/>
        <v>6.36</v>
      </c>
    </row>
    <row r="1163" spans="1:6" x14ac:dyDescent="0.25">
      <c r="A1163" s="1">
        <v>34152</v>
      </c>
      <c r="B1163">
        <v>7.23</v>
      </c>
      <c r="C1163" s="11">
        <f t="shared" si="72"/>
        <v>7.2300000000000003E-2</v>
      </c>
      <c r="D1163">
        <f t="shared" si="73"/>
        <v>1993</v>
      </c>
      <c r="E1163" t="str">
        <f t="shared" si="74"/>
        <v>Jul-1993</v>
      </c>
      <c r="F1163" s="12">
        <f t="shared" si="75"/>
        <v>6.36</v>
      </c>
    </row>
    <row r="1164" spans="1:6" x14ac:dyDescent="0.25">
      <c r="A1164" s="1">
        <v>34159</v>
      </c>
      <c r="B1164">
        <v>7.19</v>
      </c>
      <c r="C1164" s="11">
        <f t="shared" si="72"/>
        <v>7.1900000000000006E-2</v>
      </c>
      <c r="D1164">
        <f t="shared" si="73"/>
        <v>1993</v>
      </c>
      <c r="E1164" t="str">
        <f t="shared" si="74"/>
        <v>Jul-1993</v>
      </c>
      <c r="F1164" s="12">
        <f t="shared" si="75"/>
        <v>6.36</v>
      </c>
    </row>
    <row r="1165" spans="1:6" x14ac:dyDescent="0.25">
      <c r="A1165" s="1">
        <v>34166</v>
      </c>
      <c r="B1165">
        <v>7.16</v>
      </c>
      <c r="C1165" s="11">
        <f t="shared" si="72"/>
        <v>7.1599999999999997E-2</v>
      </c>
      <c r="D1165">
        <f t="shared" si="73"/>
        <v>1993</v>
      </c>
      <c r="E1165" t="str">
        <f t="shared" si="74"/>
        <v>Jul-1993</v>
      </c>
      <c r="F1165" s="12">
        <f t="shared" si="75"/>
        <v>6.36</v>
      </c>
    </row>
    <row r="1166" spans="1:6" x14ac:dyDescent="0.25">
      <c r="A1166" s="1">
        <v>34173</v>
      </c>
      <c r="B1166">
        <v>7.2</v>
      </c>
      <c r="C1166" s="11">
        <f t="shared" si="72"/>
        <v>7.2000000000000008E-2</v>
      </c>
      <c r="D1166">
        <f t="shared" si="73"/>
        <v>1993</v>
      </c>
      <c r="E1166" t="str">
        <f t="shared" si="74"/>
        <v>Jul-1993</v>
      </c>
      <c r="F1166" s="12">
        <f t="shared" si="75"/>
        <v>6.36</v>
      </c>
    </row>
    <row r="1167" spans="1:6" x14ac:dyDescent="0.25">
      <c r="A1167" s="1">
        <v>34180</v>
      </c>
      <c r="B1167">
        <v>7.25</v>
      </c>
      <c r="C1167" s="11">
        <f t="shared" si="72"/>
        <v>7.2499999999999995E-2</v>
      </c>
      <c r="D1167">
        <f t="shared" si="73"/>
        <v>1993</v>
      </c>
      <c r="E1167" t="str">
        <f t="shared" si="74"/>
        <v>Jul-1993</v>
      </c>
      <c r="F1167" s="12">
        <f t="shared" si="75"/>
        <v>6.36</v>
      </c>
    </row>
    <row r="1168" spans="1:6" x14ac:dyDescent="0.25">
      <c r="A1168" s="1">
        <v>34187</v>
      </c>
      <c r="B1168">
        <v>7.21</v>
      </c>
      <c r="C1168" s="11">
        <f t="shared" si="72"/>
        <v>7.2099999999999997E-2</v>
      </c>
      <c r="D1168">
        <f t="shared" si="73"/>
        <v>1993</v>
      </c>
      <c r="E1168" t="str">
        <f t="shared" si="74"/>
        <v>Aug-1993</v>
      </c>
      <c r="F1168" s="12">
        <f t="shared" si="75"/>
        <v>6.36</v>
      </c>
    </row>
    <row r="1169" spans="1:6" x14ac:dyDescent="0.25">
      <c r="A1169" s="1">
        <v>34194</v>
      </c>
      <c r="B1169">
        <v>7.17</v>
      </c>
      <c r="C1169" s="11">
        <f t="shared" si="72"/>
        <v>7.17E-2</v>
      </c>
      <c r="D1169">
        <f t="shared" si="73"/>
        <v>1993</v>
      </c>
      <c r="E1169" t="str">
        <f t="shared" si="74"/>
        <v>Aug-1993</v>
      </c>
      <c r="F1169" s="12">
        <f t="shared" si="75"/>
        <v>6.36</v>
      </c>
    </row>
    <row r="1170" spans="1:6" x14ac:dyDescent="0.25">
      <c r="A1170" s="1">
        <v>34201</v>
      </c>
      <c r="B1170">
        <v>7.1</v>
      </c>
      <c r="C1170" s="11">
        <f t="shared" si="72"/>
        <v>7.0999999999999994E-2</v>
      </c>
      <c r="D1170">
        <f t="shared" si="73"/>
        <v>1993</v>
      </c>
      <c r="E1170" t="str">
        <f t="shared" si="74"/>
        <v>Aug-1993</v>
      </c>
      <c r="F1170" s="12">
        <f t="shared" si="75"/>
        <v>6.36</v>
      </c>
    </row>
    <row r="1171" spans="1:6" x14ac:dyDescent="0.25">
      <c r="A1171" s="1">
        <v>34208</v>
      </c>
      <c r="B1171">
        <v>6.97</v>
      </c>
      <c r="C1171" s="11">
        <f t="shared" si="72"/>
        <v>6.9699999999999998E-2</v>
      </c>
      <c r="D1171">
        <f t="shared" si="73"/>
        <v>1993</v>
      </c>
      <c r="E1171" t="str">
        <f t="shared" si="74"/>
        <v>Aug-1993</v>
      </c>
      <c r="F1171" s="12">
        <f t="shared" si="75"/>
        <v>6.36</v>
      </c>
    </row>
    <row r="1172" spans="1:6" x14ac:dyDescent="0.25">
      <c r="A1172" s="1">
        <v>34215</v>
      </c>
      <c r="B1172">
        <v>6.93</v>
      </c>
      <c r="C1172" s="11">
        <f t="shared" si="72"/>
        <v>6.93E-2</v>
      </c>
      <c r="D1172">
        <f t="shared" si="73"/>
        <v>1993</v>
      </c>
      <c r="E1172" t="str">
        <f t="shared" si="74"/>
        <v>Sep-1993</v>
      </c>
      <c r="F1172" s="12">
        <f t="shared" si="75"/>
        <v>6.36</v>
      </c>
    </row>
    <row r="1173" spans="1:6" x14ac:dyDescent="0.25">
      <c r="A1173" s="1">
        <v>34222</v>
      </c>
      <c r="B1173">
        <v>6.82</v>
      </c>
      <c r="C1173" s="11">
        <f t="shared" si="72"/>
        <v>6.8199999999999997E-2</v>
      </c>
      <c r="D1173">
        <f t="shared" si="73"/>
        <v>1993</v>
      </c>
      <c r="E1173" t="str">
        <f t="shared" si="74"/>
        <v>Sep-1993</v>
      </c>
      <c r="F1173" s="12">
        <f t="shared" si="75"/>
        <v>6.36</v>
      </c>
    </row>
    <row r="1174" spans="1:6" x14ac:dyDescent="0.25">
      <c r="A1174" s="1">
        <v>34229</v>
      </c>
      <c r="B1174">
        <v>6.96</v>
      </c>
      <c r="C1174" s="11">
        <f t="shared" si="72"/>
        <v>6.9599999999999995E-2</v>
      </c>
      <c r="D1174">
        <f t="shared" si="73"/>
        <v>1993</v>
      </c>
      <c r="E1174" t="str">
        <f t="shared" si="74"/>
        <v>Sep-1993</v>
      </c>
      <c r="F1174" s="12">
        <f t="shared" si="75"/>
        <v>6.36</v>
      </c>
    </row>
    <row r="1175" spans="1:6" x14ac:dyDescent="0.25">
      <c r="A1175" s="1">
        <v>34236</v>
      </c>
      <c r="B1175">
        <v>6.95</v>
      </c>
      <c r="C1175" s="11">
        <f t="shared" si="72"/>
        <v>6.9500000000000006E-2</v>
      </c>
      <c r="D1175">
        <f t="shared" si="73"/>
        <v>1993</v>
      </c>
      <c r="E1175" t="str">
        <f t="shared" si="74"/>
        <v>Sep-1993</v>
      </c>
      <c r="F1175" s="12">
        <f t="shared" si="75"/>
        <v>6.36</v>
      </c>
    </row>
    <row r="1176" spans="1:6" x14ac:dyDescent="0.25">
      <c r="A1176" s="1">
        <v>34243</v>
      </c>
      <c r="B1176">
        <v>6.89</v>
      </c>
      <c r="C1176" s="11">
        <f t="shared" si="72"/>
        <v>6.8900000000000003E-2</v>
      </c>
      <c r="D1176">
        <f t="shared" si="73"/>
        <v>1993</v>
      </c>
      <c r="E1176" t="str">
        <f t="shared" si="74"/>
        <v>Oct-1993</v>
      </c>
      <c r="F1176" s="12">
        <f t="shared" si="75"/>
        <v>6.36</v>
      </c>
    </row>
    <row r="1177" spans="1:6" x14ac:dyDescent="0.25">
      <c r="A1177" s="1">
        <v>34250</v>
      </c>
      <c r="B1177">
        <v>6.87</v>
      </c>
      <c r="C1177" s="11">
        <f t="shared" si="72"/>
        <v>6.8699999999999997E-2</v>
      </c>
      <c r="D1177">
        <f t="shared" si="73"/>
        <v>1993</v>
      </c>
      <c r="E1177" t="str">
        <f t="shared" si="74"/>
        <v>Oct-1993</v>
      </c>
      <c r="F1177" s="12">
        <f t="shared" si="75"/>
        <v>6.36</v>
      </c>
    </row>
    <row r="1178" spans="1:6" x14ac:dyDescent="0.25">
      <c r="A1178" s="1">
        <v>34257</v>
      </c>
      <c r="B1178">
        <v>6.81</v>
      </c>
      <c r="C1178" s="11">
        <f t="shared" si="72"/>
        <v>6.8099999999999994E-2</v>
      </c>
      <c r="D1178">
        <f t="shared" si="73"/>
        <v>1993</v>
      </c>
      <c r="E1178" t="str">
        <f t="shared" si="74"/>
        <v>Oct-1993</v>
      </c>
      <c r="F1178" s="12">
        <f t="shared" si="75"/>
        <v>6.36</v>
      </c>
    </row>
    <row r="1179" spans="1:6" x14ac:dyDescent="0.25">
      <c r="A1179" s="1">
        <v>34264</v>
      </c>
      <c r="B1179">
        <v>6.74</v>
      </c>
      <c r="C1179" s="11">
        <f t="shared" si="72"/>
        <v>6.7400000000000002E-2</v>
      </c>
      <c r="D1179">
        <f t="shared" si="73"/>
        <v>1993</v>
      </c>
      <c r="E1179" t="str">
        <f t="shared" si="74"/>
        <v>Oct-1993</v>
      </c>
      <c r="F1179" s="12">
        <f t="shared" si="75"/>
        <v>6.36</v>
      </c>
    </row>
    <row r="1180" spans="1:6" x14ac:dyDescent="0.25">
      <c r="A1180" s="1">
        <v>34271</v>
      </c>
      <c r="B1180">
        <v>6.86</v>
      </c>
      <c r="C1180" s="11">
        <f t="shared" si="72"/>
        <v>6.8600000000000008E-2</v>
      </c>
      <c r="D1180">
        <f t="shared" si="73"/>
        <v>1993</v>
      </c>
      <c r="E1180" t="str">
        <f t="shared" si="74"/>
        <v>Oct-1993</v>
      </c>
      <c r="F1180" s="12">
        <f t="shared" si="75"/>
        <v>6.36</v>
      </c>
    </row>
    <row r="1181" spans="1:6" x14ac:dyDescent="0.25">
      <c r="A1181" s="1">
        <v>34278</v>
      </c>
      <c r="B1181">
        <v>7.11</v>
      </c>
      <c r="C1181" s="11">
        <f t="shared" si="72"/>
        <v>7.1099999999999997E-2</v>
      </c>
      <c r="D1181">
        <f t="shared" si="73"/>
        <v>1993</v>
      </c>
      <c r="E1181" t="str">
        <f t="shared" si="74"/>
        <v>Nov-1993</v>
      </c>
      <c r="F1181" s="12">
        <f t="shared" si="75"/>
        <v>6.36</v>
      </c>
    </row>
    <row r="1182" spans="1:6" x14ac:dyDescent="0.25">
      <c r="A1182" s="1">
        <v>34285</v>
      </c>
      <c r="B1182">
        <v>7.12</v>
      </c>
      <c r="C1182" s="11">
        <f t="shared" si="72"/>
        <v>7.1199999999999999E-2</v>
      </c>
      <c r="D1182">
        <f t="shared" si="73"/>
        <v>1993</v>
      </c>
      <c r="E1182" t="str">
        <f t="shared" si="74"/>
        <v>Nov-1993</v>
      </c>
      <c r="F1182" s="12">
        <f t="shared" si="75"/>
        <v>6.36</v>
      </c>
    </row>
    <row r="1183" spans="1:6" x14ac:dyDescent="0.25">
      <c r="A1183" s="1">
        <v>34292</v>
      </c>
      <c r="B1183">
        <v>7.08</v>
      </c>
      <c r="C1183" s="11">
        <f t="shared" si="72"/>
        <v>7.0800000000000002E-2</v>
      </c>
      <c r="D1183">
        <f t="shared" si="73"/>
        <v>1993</v>
      </c>
      <c r="E1183" t="str">
        <f t="shared" si="74"/>
        <v>Nov-1993</v>
      </c>
      <c r="F1183" s="12">
        <f t="shared" si="75"/>
        <v>6.36</v>
      </c>
    </row>
    <row r="1184" spans="1:6" x14ac:dyDescent="0.25">
      <c r="A1184" s="1">
        <v>34299</v>
      </c>
      <c r="B1184">
        <v>7.31</v>
      </c>
      <c r="C1184" s="11">
        <f t="shared" si="72"/>
        <v>7.3099999999999998E-2</v>
      </c>
      <c r="D1184">
        <f t="shared" si="73"/>
        <v>1993</v>
      </c>
      <c r="E1184" t="str">
        <f t="shared" si="74"/>
        <v>Nov-1993</v>
      </c>
      <c r="F1184" s="12">
        <f t="shared" si="75"/>
        <v>6.36</v>
      </c>
    </row>
    <row r="1185" spans="1:6" x14ac:dyDescent="0.25">
      <c r="A1185" s="1">
        <v>34307</v>
      </c>
      <c r="B1185">
        <v>7.25</v>
      </c>
      <c r="C1185" s="11">
        <f t="shared" si="72"/>
        <v>7.2499999999999995E-2</v>
      </c>
      <c r="D1185">
        <f t="shared" si="73"/>
        <v>1993</v>
      </c>
      <c r="E1185" t="str">
        <f t="shared" si="74"/>
        <v>Dec-1993</v>
      </c>
      <c r="F1185" s="12">
        <f t="shared" si="75"/>
        <v>6.36</v>
      </c>
    </row>
    <row r="1186" spans="1:6" x14ac:dyDescent="0.25">
      <c r="A1186" s="1">
        <v>34313</v>
      </c>
      <c r="B1186">
        <v>7.14</v>
      </c>
      <c r="C1186" s="11">
        <f t="shared" si="72"/>
        <v>7.1399999999999991E-2</v>
      </c>
      <c r="D1186">
        <f t="shared" si="73"/>
        <v>1993</v>
      </c>
      <c r="E1186" t="str">
        <f t="shared" si="74"/>
        <v>Dec-1993</v>
      </c>
      <c r="F1186" s="12">
        <f t="shared" si="75"/>
        <v>6.36</v>
      </c>
    </row>
    <row r="1187" spans="1:6" x14ac:dyDescent="0.25">
      <c r="A1187" s="1">
        <v>34320</v>
      </c>
      <c r="B1187">
        <v>7.17</v>
      </c>
      <c r="C1187" s="11">
        <f t="shared" si="72"/>
        <v>7.17E-2</v>
      </c>
      <c r="D1187">
        <f t="shared" si="73"/>
        <v>1993</v>
      </c>
      <c r="E1187" t="str">
        <f t="shared" si="74"/>
        <v>Dec-1993</v>
      </c>
      <c r="F1187" s="12">
        <f t="shared" si="75"/>
        <v>6.36</v>
      </c>
    </row>
    <row r="1188" spans="1:6" x14ac:dyDescent="0.25">
      <c r="A1188" s="1">
        <v>34327</v>
      </c>
      <c r="B1188">
        <v>7.17</v>
      </c>
      <c r="C1188" s="11">
        <f t="shared" si="72"/>
        <v>7.17E-2</v>
      </c>
      <c r="D1188">
        <f t="shared" si="73"/>
        <v>1993</v>
      </c>
      <c r="E1188" t="str">
        <f t="shared" si="74"/>
        <v>Dec-1993</v>
      </c>
      <c r="F1188" s="12">
        <f t="shared" si="75"/>
        <v>6.36</v>
      </c>
    </row>
    <row r="1189" spans="1:6" x14ac:dyDescent="0.25">
      <c r="A1189" s="1">
        <v>34334</v>
      </c>
      <c r="B1189">
        <v>7.13</v>
      </c>
      <c r="C1189" s="11">
        <f t="shared" si="72"/>
        <v>7.1300000000000002E-2</v>
      </c>
      <c r="D1189">
        <f t="shared" si="73"/>
        <v>1993</v>
      </c>
      <c r="E1189" t="str">
        <f t="shared" si="74"/>
        <v>Dec-1993</v>
      </c>
      <c r="F1189" s="12">
        <f t="shared" si="75"/>
        <v>6.36</v>
      </c>
    </row>
    <row r="1190" spans="1:6" x14ac:dyDescent="0.25">
      <c r="A1190" s="1">
        <v>34341</v>
      </c>
      <c r="B1190">
        <v>7.23</v>
      </c>
      <c r="C1190" s="11">
        <f t="shared" si="72"/>
        <v>7.2300000000000003E-2</v>
      </c>
      <c r="D1190">
        <f t="shared" si="73"/>
        <v>1994</v>
      </c>
      <c r="E1190" t="str">
        <f t="shared" si="74"/>
        <v>Jan-1994</v>
      </c>
      <c r="F1190" s="12">
        <f t="shared" si="75"/>
        <v>6.36</v>
      </c>
    </row>
    <row r="1191" spans="1:6" x14ac:dyDescent="0.25">
      <c r="A1191" s="1">
        <v>34348</v>
      </c>
      <c r="B1191">
        <v>6.99</v>
      </c>
      <c r="C1191" s="11">
        <f t="shared" si="72"/>
        <v>6.9900000000000004E-2</v>
      </c>
      <c r="D1191">
        <f t="shared" si="73"/>
        <v>1994</v>
      </c>
      <c r="E1191" t="str">
        <f t="shared" si="74"/>
        <v>Jan-1994</v>
      </c>
      <c r="F1191" s="12">
        <f t="shared" si="75"/>
        <v>6.36</v>
      </c>
    </row>
    <row r="1192" spans="1:6" x14ac:dyDescent="0.25">
      <c r="A1192" s="1">
        <v>34355</v>
      </c>
      <c r="B1192">
        <v>7.05</v>
      </c>
      <c r="C1192" s="11">
        <f t="shared" si="72"/>
        <v>7.0499999999999993E-2</v>
      </c>
      <c r="D1192">
        <f t="shared" si="73"/>
        <v>1994</v>
      </c>
      <c r="E1192" t="str">
        <f t="shared" si="74"/>
        <v>Jan-1994</v>
      </c>
      <c r="F1192" s="12">
        <f t="shared" si="75"/>
        <v>6.36</v>
      </c>
    </row>
    <row r="1193" spans="1:6" x14ac:dyDescent="0.25">
      <c r="A1193" s="1">
        <v>34362</v>
      </c>
      <c r="B1193">
        <v>6.97</v>
      </c>
      <c r="C1193" s="11">
        <f t="shared" si="72"/>
        <v>6.9699999999999998E-2</v>
      </c>
      <c r="D1193">
        <f t="shared" si="73"/>
        <v>1994</v>
      </c>
      <c r="E1193" t="str">
        <f t="shared" si="74"/>
        <v>Jan-1994</v>
      </c>
      <c r="F1193" s="12">
        <f t="shared" si="75"/>
        <v>6.36</v>
      </c>
    </row>
    <row r="1194" spans="1:6" x14ac:dyDescent="0.25">
      <c r="A1194" s="1">
        <v>34369</v>
      </c>
      <c r="B1194">
        <v>6.97</v>
      </c>
      <c r="C1194" s="11">
        <f t="shared" si="72"/>
        <v>6.9699999999999998E-2</v>
      </c>
      <c r="D1194">
        <f t="shared" si="73"/>
        <v>1994</v>
      </c>
      <c r="E1194" t="str">
        <f t="shared" si="74"/>
        <v>Feb-1994</v>
      </c>
      <c r="F1194" s="12">
        <f t="shared" si="75"/>
        <v>6.36</v>
      </c>
    </row>
    <row r="1195" spans="1:6" x14ac:dyDescent="0.25">
      <c r="A1195" s="1">
        <v>34376</v>
      </c>
      <c r="B1195">
        <v>7.21</v>
      </c>
      <c r="C1195" s="11">
        <f t="shared" si="72"/>
        <v>7.2099999999999997E-2</v>
      </c>
      <c r="D1195">
        <f t="shared" si="73"/>
        <v>1994</v>
      </c>
      <c r="E1195" t="str">
        <f t="shared" si="74"/>
        <v>Feb-1994</v>
      </c>
      <c r="F1195" s="12">
        <f t="shared" si="75"/>
        <v>6.36</v>
      </c>
    </row>
    <row r="1196" spans="1:6" x14ac:dyDescent="0.25">
      <c r="A1196" s="1">
        <v>34383</v>
      </c>
      <c r="B1196">
        <v>7.11</v>
      </c>
      <c r="C1196" s="11">
        <f t="shared" si="72"/>
        <v>7.1099999999999997E-2</v>
      </c>
      <c r="D1196">
        <f t="shared" si="73"/>
        <v>1994</v>
      </c>
      <c r="E1196" t="str">
        <f t="shared" si="74"/>
        <v>Feb-1994</v>
      </c>
      <c r="F1196" s="12">
        <f t="shared" si="75"/>
        <v>6.36</v>
      </c>
    </row>
    <row r="1197" spans="1:6" x14ac:dyDescent="0.25">
      <c r="A1197" s="1">
        <v>34390</v>
      </c>
      <c r="B1197">
        <v>7.32</v>
      </c>
      <c r="C1197" s="11">
        <f t="shared" si="72"/>
        <v>7.3200000000000001E-2</v>
      </c>
      <c r="D1197">
        <f t="shared" si="73"/>
        <v>1994</v>
      </c>
      <c r="E1197" t="str">
        <f t="shared" si="74"/>
        <v>Feb-1994</v>
      </c>
      <c r="F1197" s="12">
        <f t="shared" si="75"/>
        <v>6.36</v>
      </c>
    </row>
    <row r="1198" spans="1:6" x14ac:dyDescent="0.25">
      <c r="A1198" s="1">
        <v>34397</v>
      </c>
      <c r="B1198">
        <v>7.51</v>
      </c>
      <c r="C1198" s="11">
        <f t="shared" si="72"/>
        <v>7.51E-2</v>
      </c>
      <c r="D1198">
        <f t="shared" si="73"/>
        <v>1994</v>
      </c>
      <c r="E1198" t="str">
        <f t="shared" si="74"/>
        <v>Mar-1994</v>
      </c>
      <c r="F1198" s="12">
        <f t="shared" si="75"/>
        <v>6.36</v>
      </c>
    </row>
    <row r="1199" spans="1:6" x14ac:dyDescent="0.25">
      <c r="A1199" s="1">
        <v>34404</v>
      </c>
      <c r="B1199">
        <v>7.63</v>
      </c>
      <c r="C1199" s="11">
        <f t="shared" si="72"/>
        <v>7.6299999999999993E-2</v>
      </c>
      <c r="D1199">
        <f t="shared" si="73"/>
        <v>1994</v>
      </c>
      <c r="E1199" t="str">
        <f t="shared" si="74"/>
        <v>Mar-1994</v>
      </c>
      <c r="F1199" s="12">
        <f t="shared" si="75"/>
        <v>6.36</v>
      </c>
    </row>
    <row r="1200" spans="1:6" x14ac:dyDescent="0.25">
      <c r="A1200" s="1">
        <v>34411</v>
      </c>
      <c r="B1200">
        <v>7.76</v>
      </c>
      <c r="C1200" s="11">
        <f t="shared" si="72"/>
        <v>7.7600000000000002E-2</v>
      </c>
      <c r="D1200">
        <f t="shared" si="73"/>
        <v>1994</v>
      </c>
      <c r="E1200" t="str">
        <f t="shared" si="74"/>
        <v>Mar-1994</v>
      </c>
      <c r="F1200" s="12">
        <f t="shared" si="75"/>
        <v>6.36</v>
      </c>
    </row>
    <row r="1201" spans="1:6" x14ac:dyDescent="0.25">
      <c r="A1201" s="1">
        <v>34418</v>
      </c>
      <c r="B1201">
        <v>7.8</v>
      </c>
      <c r="C1201" s="11">
        <f t="shared" si="72"/>
        <v>7.8E-2</v>
      </c>
      <c r="D1201">
        <f t="shared" si="73"/>
        <v>1994</v>
      </c>
      <c r="E1201" t="str">
        <f t="shared" si="74"/>
        <v>Mar-1994</v>
      </c>
      <c r="F1201" s="12">
        <f t="shared" si="75"/>
        <v>6.36</v>
      </c>
    </row>
    <row r="1202" spans="1:6" x14ac:dyDescent="0.25">
      <c r="A1202" s="1">
        <v>34425</v>
      </c>
      <c r="B1202">
        <v>8.0399999999999991</v>
      </c>
      <c r="C1202" s="11">
        <f t="shared" si="72"/>
        <v>8.0399999999999985E-2</v>
      </c>
      <c r="D1202">
        <f t="shared" si="73"/>
        <v>1994</v>
      </c>
      <c r="E1202" t="str">
        <f t="shared" si="74"/>
        <v>Apr-1994</v>
      </c>
      <c r="F1202" s="12">
        <f t="shared" si="75"/>
        <v>6.36</v>
      </c>
    </row>
    <row r="1203" spans="1:6" x14ac:dyDescent="0.25">
      <c r="A1203" s="1">
        <v>34432</v>
      </c>
      <c r="B1203">
        <v>8.4700000000000006</v>
      </c>
      <c r="C1203" s="11">
        <f t="shared" si="72"/>
        <v>8.4700000000000011E-2</v>
      </c>
      <c r="D1203">
        <f t="shared" si="73"/>
        <v>1994</v>
      </c>
      <c r="E1203" t="str">
        <f t="shared" si="74"/>
        <v>Apr-1994</v>
      </c>
      <c r="F1203" s="12">
        <f t="shared" si="75"/>
        <v>6.36</v>
      </c>
    </row>
    <row r="1204" spans="1:6" x14ac:dyDescent="0.25">
      <c r="A1204" s="1">
        <v>34439</v>
      </c>
      <c r="B1204">
        <v>8.26</v>
      </c>
      <c r="C1204" s="11">
        <f t="shared" si="72"/>
        <v>8.2599999999999993E-2</v>
      </c>
      <c r="D1204">
        <f t="shared" si="73"/>
        <v>1994</v>
      </c>
      <c r="E1204" t="str">
        <f t="shared" si="74"/>
        <v>Apr-1994</v>
      </c>
      <c r="F1204" s="12">
        <f t="shared" si="75"/>
        <v>6.36</v>
      </c>
    </row>
    <row r="1205" spans="1:6" x14ac:dyDescent="0.25">
      <c r="A1205" s="1">
        <v>34446</v>
      </c>
      <c r="B1205">
        <v>8.49</v>
      </c>
      <c r="C1205" s="11">
        <f t="shared" si="72"/>
        <v>8.4900000000000003E-2</v>
      </c>
      <c r="D1205">
        <f t="shared" si="73"/>
        <v>1994</v>
      </c>
      <c r="E1205" t="str">
        <f t="shared" si="74"/>
        <v>Apr-1994</v>
      </c>
      <c r="F1205" s="12">
        <f t="shared" si="75"/>
        <v>6.36</v>
      </c>
    </row>
    <row r="1206" spans="1:6" x14ac:dyDescent="0.25">
      <c r="A1206" s="1">
        <v>34453</v>
      </c>
      <c r="B1206">
        <v>8.32</v>
      </c>
      <c r="C1206" s="11">
        <f t="shared" si="72"/>
        <v>8.3199999999999996E-2</v>
      </c>
      <c r="D1206">
        <f t="shared" si="73"/>
        <v>1994</v>
      </c>
      <c r="E1206" t="str">
        <f t="shared" si="74"/>
        <v>Apr-1994</v>
      </c>
      <c r="F1206" s="12">
        <f t="shared" si="75"/>
        <v>6.36</v>
      </c>
    </row>
    <row r="1207" spans="1:6" x14ac:dyDescent="0.25">
      <c r="A1207" s="1">
        <v>34460</v>
      </c>
      <c r="B1207">
        <v>8.5299999999999994</v>
      </c>
      <c r="C1207" s="11">
        <f t="shared" si="72"/>
        <v>8.5299999999999987E-2</v>
      </c>
      <c r="D1207">
        <f t="shared" si="73"/>
        <v>1994</v>
      </c>
      <c r="E1207" t="str">
        <f t="shared" si="74"/>
        <v>May-1994</v>
      </c>
      <c r="F1207" s="12">
        <f t="shared" si="75"/>
        <v>6.36</v>
      </c>
    </row>
    <row r="1208" spans="1:6" x14ac:dyDescent="0.25">
      <c r="A1208" s="1">
        <v>34467</v>
      </c>
      <c r="B1208">
        <v>8.77</v>
      </c>
      <c r="C1208" s="11">
        <f t="shared" si="72"/>
        <v>8.77E-2</v>
      </c>
      <c r="D1208">
        <f t="shared" si="73"/>
        <v>1994</v>
      </c>
      <c r="E1208" t="str">
        <f t="shared" si="74"/>
        <v>May-1994</v>
      </c>
      <c r="F1208" s="12">
        <f t="shared" si="75"/>
        <v>6.36</v>
      </c>
    </row>
    <row r="1209" spans="1:6" x14ac:dyDescent="0.25">
      <c r="A1209" s="1">
        <v>34474</v>
      </c>
      <c r="B1209">
        <v>8.56</v>
      </c>
      <c r="C1209" s="11">
        <f t="shared" si="72"/>
        <v>8.5600000000000009E-2</v>
      </c>
      <c r="D1209">
        <f t="shared" si="73"/>
        <v>1994</v>
      </c>
      <c r="E1209" t="str">
        <f t="shared" si="74"/>
        <v>May-1994</v>
      </c>
      <c r="F1209" s="12">
        <f t="shared" si="75"/>
        <v>6.36</v>
      </c>
    </row>
    <row r="1210" spans="1:6" x14ac:dyDescent="0.25">
      <c r="A1210" s="1">
        <v>34481</v>
      </c>
      <c r="B1210">
        <v>8.5299999999999994</v>
      </c>
      <c r="C1210" s="11">
        <f t="shared" si="72"/>
        <v>8.5299999999999987E-2</v>
      </c>
      <c r="D1210">
        <f t="shared" si="73"/>
        <v>1994</v>
      </c>
      <c r="E1210" t="str">
        <f t="shared" si="74"/>
        <v>May-1994</v>
      </c>
      <c r="F1210" s="12">
        <f t="shared" si="75"/>
        <v>6.36</v>
      </c>
    </row>
    <row r="1211" spans="1:6" x14ac:dyDescent="0.25">
      <c r="A1211" s="1">
        <v>34488</v>
      </c>
      <c r="B1211">
        <v>8.5500000000000007</v>
      </c>
      <c r="C1211" s="11">
        <f t="shared" si="72"/>
        <v>8.5500000000000007E-2</v>
      </c>
      <c r="D1211">
        <f t="shared" si="73"/>
        <v>1994</v>
      </c>
      <c r="E1211" t="str">
        <f t="shared" si="74"/>
        <v>Jun-1994</v>
      </c>
      <c r="F1211" s="12">
        <f t="shared" si="75"/>
        <v>6.36</v>
      </c>
    </row>
    <row r="1212" spans="1:6" x14ac:dyDescent="0.25">
      <c r="A1212" s="1">
        <v>34495</v>
      </c>
      <c r="B1212">
        <v>8.25</v>
      </c>
      <c r="C1212" s="11">
        <f t="shared" si="72"/>
        <v>8.2500000000000004E-2</v>
      </c>
      <c r="D1212">
        <f t="shared" si="73"/>
        <v>1994</v>
      </c>
      <c r="E1212" t="str">
        <f t="shared" si="74"/>
        <v>Jun-1994</v>
      </c>
      <c r="F1212" s="12">
        <f t="shared" si="75"/>
        <v>6.36</v>
      </c>
    </row>
    <row r="1213" spans="1:6" x14ac:dyDescent="0.25">
      <c r="A1213" s="1">
        <v>34502</v>
      </c>
      <c r="B1213">
        <v>8.33</v>
      </c>
      <c r="C1213" s="11">
        <f t="shared" si="72"/>
        <v>8.3299999999999999E-2</v>
      </c>
      <c r="D1213">
        <f t="shared" si="73"/>
        <v>1994</v>
      </c>
      <c r="E1213" t="str">
        <f t="shared" si="74"/>
        <v>Jun-1994</v>
      </c>
      <c r="F1213" s="12">
        <f t="shared" si="75"/>
        <v>6.36</v>
      </c>
    </row>
    <row r="1214" spans="1:6" x14ac:dyDescent="0.25">
      <c r="A1214" s="1">
        <v>34509</v>
      </c>
      <c r="B1214">
        <v>8.4600000000000009</v>
      </c>
      <c r="C1214" s="11">
        <f t="shared" si="72"/>
        <v>8.4600000000000009E-2</v>
      </c>
      <c r="D1214">
        <f t="shared" si="73"/>
        <v>1994</v>
      </c>
      <c r="E1214" t="str">
        <f t="shared" si="74"/>
        <v>Jun-1994</v>
      </c>
      <c r="F1214" s="12">
        <f t="shared" si="75"/>
        <v>6.36</v>
      </c>
    </row>
    <row r="1215" spans="1:6" x14ac:dyDescent="0.25">
      <c r="A1215" s="1">
        <v>34516</v>
      </c>
      <c r="B1215">
        <v>8.57</v>
      </c>
      <c r="C1215" s="11">
        <f t="shared" si="72"/>
        <v>8.5699999999999998E-2</v>
      </c>
      <c r="D1215">
        <f t="shared" si="73"/>
        <v>1994</v>
      </c>
      <c r="E1215" t="str">
        <f t="shared" si="74"/>
        <v>Jul-1994</v>
      </c>
      <c r="F1215" s="12">
        <f t="shared" si="75"/>
        <v>6.36</v>
      </c>
    </row>
    <row r="1216" spans="1:6" x14ac:dyDescent="0.25">
      <c r="A1216" s="1">
        <v>34523</v>
      </c>
      <c r="B1216">
        <v>8.68</v>
      </c>
      <c r="C1216" s="11">
        <f t="shared" si="72"/>
        <v>8.6800000000000002E-2</v>
      </c>
      <c r="D1216">
        <f t="shared" si="73"/>
        <v>1994</v>
      </c>
      <c r="E1216" t="str">
        <f t="shared" si="74"/>
        <v>Jul-1994</v>
      </c>
      <c r="F1216" s="12">
        <f t="shared" si="75"/>
        <v>6.36</v>
      </c>
    </row>
    <row r="1217" spans="1:6" x14ac:dyDescent="0.25">
      <c r="A1217" s="1">
        <v>34530</v>
      </c>
      <c r="B1217">
        <v>8.7200000000000006</v>
      </c>
      <c r="C1217" s="11">
        <f t="shared" si="72"/>
        <v>8.72E-2</v>
      </c>
      <c r="D1217">
        <f t="shared" si="73"/>
        <v>1994</v>
      </c>
      <c r="E1217" t="str">
        <f t="shared" si="74"/>
        <v>Jul-1994</v>
      </c>
      <c r="F1217" s="12">
        <f t="shared" si="75"/>
        <v>6.36</v>
      </c>
    </row>
    <row r="1218" spans="1:6" x14ac:dyDescent="0.25">
      <c r="A1218" s="1">
        <v>34537</v>
      </c>
      <c r="B1218">
        <v>8.5299999999999994</v>
      </c>
      <c r="C1218" s="11">
        <f t="shared" ref="C1218:C1281" si="76">B1218/100</f>
        <v>8.5299999999999987E-2</v>
      </c>
      <c r="D1218">
        <f t="shared" ref="D1218:D1281" si="77">YEAR(A1218)</f>
        <v>1994</v>
      </c>
      <c r="E1218" t="str">
        <f t="shared" ref="E1218:E1281" si="78">TEXT(A1218,"MMM-YYYY")</f>
        <v>Jul-1994</v>
      </c>
      <c r="F1218" s="12">
        <f t="shared" ref="F1218:F1281" si="79">$H$2</f>
        <v>6.36</v>
      </c>
    </row>
    <row r="1219" spans="1:6" x14ac:dyDescent="0.25">
      <c r="A1219" s="1">
        <v>34544</v>
      </c>
      <c r="B1219">
        <v>8.57</v>
      </c>
      <c r="C1219" s="11">
        <f t="shared" si="76"/>
        <v>8.5699999999999998E-2</v>
      </c>
      <c r="D1219">
        <f t="shared" si="77"/>
        <v>1994</v>
      </c>
      <c r="E1219" t="str">
        <f t="shared" si="78"/>
        <v>Jul-1994</v>
      </c>
      <c r="F1219" s="12">
        <f t="shared" si="79"/>
        <v>6.36</v>
      </c>
    </row>
    <row r="1220" spans="1:6" x14ac:dyDescent="0.25">
      <c r="A1220" s="1">
        <v>34551</v>
      </c>
      <c r="B1220">
        <v>8.3800000000000008</v>
      </c>
      <c r="C1220" s="11">
        <f t="shared" si="76"/>
        <v>8.3800000000000013E-2</v>
      </c>
      <c r="D1220">
        <f t="shared" si="77"/>
        <v>1994</v>
      </c>
      <c r="E1220" t="str">
        <f t="shared" si="78"/>
        <v>Aug-1994</v>
      </c>
      <c r="F1220" s="12">
        <f t="shared" si="79"/>
        <v>6.36</v>
      </c>
    </row>
    <row r="1221" spans="1:6" x14ac:dyDescent="0.25">
      <c r="A1221" s="1">
        <v>34558</v>
      </c>
      <c r="B1221">
        <v>8.57</v>
      </c>
      <c r="C1221" s="11">
        <f t="shared" si="76"/>
        <v>8.5699999999999998E-2</v>
      </c>
      <c r="D1221">
        <f t="shared" si="77"/>
        <v>1994</v>
      </c>
      <c r="E1221" t="str">
        <f t="shared" si="78"/>
        <v>Aug-1994</v>
      </c>
      <c r="F1221" s="12">
        <f t="shared" si="79"/>
        <v>6.36</v>
      </c>
    </row>
    <row r="1222" spans="1:6" x14ac:dyDescent="0.25">
      <c r="A1222" s="1">
        <v>34565</v>
      </c>
      <c r="B1222">
        <v>8.5399999999999991</v>
      </c>
      <c r="C1222" s="11">
        <f t="shared" si="76"/>
        <v>8.539999999999999E-2</v>
      </c>
      <c r="D1222">
        <f t="shared" si="77"/>
        <v>1994</v>
      </c>
      <c r="E1222" t="str">
        <f t="shared" si="78"/>
        <v>Aug-1994</v>
      </c>
      <c r="F1222" s="12">
        <f t="shared" si="79"/>
        <v>6.36</v>
      </c>
    </row>
    <row r="1223" spans="1:6" x14ac:dyDescent="0.25">
      <c r="A1223" s="1">
        <v>34572</v>
      </c>
      <c r="B1223">
        <v>8.56</v>
      </c>
      <c r="C1223" s="11">
        <f t="shared" si="76"/>
        <v>8.5600000000000009E-2</v>
      </c>
      <c r="D1223">
        <f t="shared" si="77"/>
        <v>1994</v>
      </c>
      <c r="E1223" t="str">
        <f t="shared" si="78"/>
        <v>Aug-1994</v>
      </c>
      <c r="F1223" s="12">
        <f t="shared" si="79"/>
        <v>6.36</v>
      </c>
    </row>
    <row r="1224" spans="1:6" x14ac:dyDescent="0.25">
      <c r="A1224" s="1">
        <v>34579</v>
      </c>
      <c r="B1224">
        <v>8.48</v>
      </c>
      <c r="C1224" s="11">
        <f t="shared" si="76"/>
        <v>8.48E-2</v>
      </c>
      <c r="D1224">
        <f t="shared" si="77"/>
        <v>1994</v>
      </c>
      <c r="E1224" t="str">
        <f t="shared" si="78"/>
        <v>Sep-1994</v>
      </c>
      <c r="F1224" s="12">
        <f t="shared" si="79"/>
        <v>6.36</v>
      </c>
    </row>
    <row r="1225" spans="1:6" x14ac:dyDescent="0.25">
      <c r="A1225" s="1">
        <v>34586</v>
      </c>
      <c r="B1225">
        <v>8.51</v>
      </c>
      <c r="C1225" s="11">
        <f t="shared" si="76"/>
        <v>8.5099999999999995E-2</v>
      </c>
      <c r="D1225">
        <f t="shared" si="77"/>
        <v>1994</v>
      </c>
      <c r="E1225" t="str">
        <f t="shared" si="78"/>
        <v>Sep-1994</v>
      </c>
      <c r="F1225" s="12">
        <f t="shared" si="79"/>
        <v>6.36</v>
      </c>
    </row>
    <row r="1226" spans="1:6" x14ac:dyDescent="0.25">
      <c r="A1226" s="1">
        <v>34593</v>
      </c>
      <c r="B1226">
        <v>8.66</v>
      </c>
      <c r="C1226" s="11">
        <f t="shared" si="76"/>
        <v>8.6599999999999996E-2</v>
      </c>
      <c r="D1226">
        <f t="shared" si="77"/>
        <v>1994</v>
      </c>
      <c r="E1226" t="str">
        <f t="shared" si="78"/>
        <v>Sep-1994</v>
      </c>
      <c r="F1226" s="12">
        <f t="shared" si="79"/>
        <v>6.36</v>
      </c>
    </row>
    <row r="1227" spans="1:6" x14ac:dyDescent="0.25">
      <c r="A1227" s="1">
        <v>34600</v>
      </c>
      <c r="B1227">
        <v>8.73</v>
      </c>
      <c r="C1227" s="11">
        <f t="shared" si="76"/>
        <v>8.7300000000000003E-2</v>
      </c>
      <c r="D1227">
        <f t="shared" si="77"/>
        <v>1994</v>
      </c>
      <c r="E1227" t="str">
        <f t="shared" si="78"/>
        <v>Sep-1994</v>
      </c>
      <c r="F1227" s="12">
        <f t="shared" si="79"/>
        <v>6.36</v>
      </c>
    </row>
    <row r="1228" spans="1:6" x14ac:dyDescent="0.25">
      <c r="A1228" s="1">
        <v>34607</v>
      </c>
      <c r="B1228">
        <v>8.82</v>
      </c>
      <c r="C1228" s="11">
        <f t="shared" si="76"/>
        <v>8.8200000000000001E-2</v>
      </c>
      <c r="D1228">
        <f t="shared" si="77"/>
        <v>1994</v>
      </c>
      <c r="E1228" t="str">
        <f t="shared" si="78"/>
        <v>Sep-1994</v>
      </c>
      <c r="F1228" s="12">
        <f t="shared" si="79"/>
        <v>6.36</v>
      </c>
    </row>
    <row r="1229" spans="1:6" x14ac:dyDescent="0.25">
      <c r="A1229" s="1">
        <v>34614</v>
      </c>
      <c r="B1229">
        <v>8.89</v>
      </c>
      <c r="C1229" s="11">
        <f t="shared" si="76"/>
        <v>8.8900000000000007E-2</v>
      </c>
      <c r="D1229">
        <f t="shared" si="77"/>
        <v>1994</v>
      </c>
      <c r="E1229" t="str">
        <f t="shared" si="78"/>
        <v>Oct-1994</v>
      </c>
      <c r="F1229" s="12">
        <f t="shared" si="79"/>
        <v>6.36</v>
      </c>
    </row>
    <row r="1230" spans="1:6" x14ac:dyDescent="0.25">
      <c r="A1230" s="1">
        <v>34621</v>
      </c>
      <c r="B1230">
        <v>8.93</v>
      </c>
      <c r="C1230" s="11">
        <f t="shared" si="76"/>
        <v>8.929999999999999E-2</v>
      </c>
      <c r="D1230">
        <f t="shared" si="77"/>
        <v>1994</v>
      </c>
      <c r="E1230" t="str">
        <f t="shared" si="78"/>
        <v>Oct-1994</v>
      </c>
      <c r="F1230" s="12">
        <f t="shared" si="79"/>
        <v>6.36</v>
      </c>
    </row>
    <row r="1231" spans="1:6" x14ac:dyDescent="0.25">
      <c r="A1231" s="1">
        <v>34628</v>
      </c>
      <c r="B1231">
        <v>8.85</v>
      </c>
      <c r="C1231" s="11">
        <f t="shared" si="76"/>
        <v>8.8499999999999995E-2</v>
      </c>
      <c r="D1231">
        <f t="shared" si="77"/>
        <v>1994</v>
      </c>
      <c r="E1231" t="str">
        <f t="shared" si="78"/>
        <v>Oct-1994</v>
      </c>
      <c r="F1231" s="12">
        <f t="shared" si="79"/>
        <v>6.36</v>
      </c>
    </row>
    <row r="1232" spans="1:6" x14ac:dyDescent="0.25">
      <c r="A1232" s="1">
        <v>34635</v>
      </c>
      <c r="B1232">
        <v>9.0299999999999994</v>
      </c>
      <c r="C1232" s="11">
        <f t="shared" si="76"/>
        <v>9.0299999999999991E-2</v>
      </c>
      <c r="D1232">
        <f t="shared" si="77"/>
        <v>1994</v>
      </c>
      <c r="E1232" t="str">
        <f t="shared" si="78"/>
        <v>Oct-1994</v>
      </c>
      <c r="F1232" s="12">
        <f t="shared" si="79"/>
        <v>6.36</v>
      </c>
    </row>
    <row r="1233" spans="1:6" x14ac:dyDescent="0.25">
      <c r="A1233" s="1">
        <v>34642</v>
      </c>
      <c r="B1233">
        <v>9.0500000000000007</v>
      </c>
      <c r="C1233" s="11">
        <f t="shared" si="76"/>
        <v>9.0500000000000011E-2</v>
      </c>
      <c r="D1233">
        <f t="shared" si="77"/>
        <v>1994</v>
      </c>
      <c r="E1233" t="str">
        <f t="shared" si="78"/>
        <v>Nov-1994</v>
      </c>
      <c r="F1233" s="12">
        <f t="shared" si="79"/>
        <v>6.36</v>
      </c>
    </row>
    <row r="1234" spans="1:6" x14ac:dyDescent="0.25">
      <c r="A1234" s="1">
        <v>34649</v>
      </c>
      <c r="B1234">
        <v>9.19</v>
      </c>
      <c r="C1234" s="11">
        <f t="shared" si="76"/>
        <v>9.1899999999999996E-2</v>
      </c>
      <c r="D1234">
        <f t="shared" si="77"/>
        <v>1994</v>
      </c>
      <c r="E1234" t="str">
        <f t="shared" si="78"/>
        <v>Nov-1994</v>
      </c>
      <c r="F1234" s="12">
        <f t="shared" si="79"/>
        <v>6.36</v>
      </c>
    </row>
    <row r="1235" spans="1:6" x14ac:dyDescent="0.25">
      <c r="A1235" s="1">
        <v>34656</v>
      </c>
      <c r="B1235">
        <v>9.19</v>
      </c>
      <c r="C1235" s="11">
        <f t="shared" si="76"/>
        <v>9.1899999999999996E-2</v>
      </c>
      <c r="D1235">
        <f t="shared" si="77"/>
        <v>1994</v>
      </c>
      <c r="E1235" t="str">
        <f t="shared" si="78"/>
        <v>Nov-1994</v>
      </c>
      <c r="F1235" s="12">
        <f t="shared" si="79"/>
        <v>6.36</v>
      </c>
    </row>
    <row r="1236" spans="1:6" x14ac:dyDescent="0.25">
      <c r="A1236" s="1">
        <v>34663</v>
      </c>
      <c r="B1236">
        <v>9.25</v>
      </c>
      <c r="C1236" s="11">
        <f t="shared" si="76"/>
        <v>9.2499999999999999E-2</v>
      </c>
      <c r="D1236">
        <f t="shared" si="77"/>
        <v>1994</v>
      </c>
      <c r="E1236" t="str">
        <f t="shared" si="78"/>
        <v>Nov-1994</v>
      </c>
      <c r="F1236" s="12">
        <f t="shared" si="79"/>
        <v>6.36</v>
      </c>
    </row>
    <row r="1237" spans="1:6" x14ac:dyDescent="0.25">
      <c r="A1237" s="1">
        <v>34670</v>
      </c>
      <c r="B1237">
        <v>9.23</v>
      </c>
      <c r="C1237" s="11">
        <f t="shared" si="76"/>
        <v>9.2300000000000007E-2</v>
      </c>
      <c r="D1237">
        <f t="shared" si="77"/>
        <v>1994</v>
      </c>
      <c r="E1237" t="str">
        <f t="shared" si="78"/>
        <v>Dec-1994</v>
      </c>
      <c r="F1237" s="12">
        <f t="shared" si="79"/>
        <v>6.36</v>
      </c>
    </row>
    <row r="1238" spans="1:6" x14ac:dyDescent="0.25">
      <c r="A1238" s="1">
        <v>34677</v>
      </c>
      <c r="B1238">
        <v>9.15</v>
      </c>
      <c r="C1238" s="11">
        <f t="shared" si="76"/>
        <v>9.1499999999999998E-2</v>
      </c>
      <c r="D1238">
        <f t="shared" si="77"/>
        <v>1994</v>
      </c>
      <c r="E1238" t="str">
        <f t="shared" si="78"/>
        <v>Dec-1994</v>
      </c>
      <c r="F1238" s="12">
        <f t="shared" si="79"/>
        <v>6.36</v>
      </c>
    </row>
    <row r="1239" spans="1:6" x14ac:dyDescent="0.25">
      <c r="A1239" s="1">
        <v>34684</v>
      </c>
      <c r="B1239">
        <v>9.25</v>
      </c>
      <c r="C1239" s="11">
        <f t="shared" si="76"/>
        <v>9.2499999999999999E-2</v>
      </c>
      <c r="D1239">
        <f t="shared" si="77"/>
        <v>1994</v>
      </c>
      <c r="E1239" t="str">
        <f t="shared" si="78"/>
        <v>Dec-1994</v>
      </c>
      <c r="F1239" s="12">
        <f t="shared" si="79"/>
        <v>6.36</v>
      </c>
    </row>
    <row r="1240" spans="1:6" x14ac:dyDescent="0.25">
      <c r="A1240" s="1">
        <v>34691</v>
      </c>
      <c r="B1240">
        <v>9.18</v>
      </c>
      <c r="C1240" s="11">
        <f t="shared" si="76"/>
        <v>9.1799999999999993E-2</v>
      </c>
      <c r="D1240">
        <f t="shared" si="77"/>
        <v>1994</v>
      </c>
      <c r="E1240" t="str">
        <f t="shared" si="78"/>
        <v>Dec-1994</v>
      </c>
      <c r="F1240" s="12">
        <f t="shared" si="79"/>
        <v>6.36</v>
      </c>
    </row>
    <row r="1241" spans="1:6" x14ac:dyDescent="0.25">
      <c r="A1241" s="1">
        <v>34698</v>
      </c>
      <c r="B1241">
        <v>9.18</v>
      </c>
      <c r="C1241" s="11">
        <f t="shared" si="76"/>
        <v>9.1799999999999993E-2</v>
      </c>
      <c r="D1241">
        <f t="shared" si="77"/>
        <v>1994</v>
      </c>
      <c r="E1241" t="str">
        <f t="shared" si="78"/>
        <v>Dec-1994</v>
      </c>
      <c r="F1241" s="12">
        <f t="shared" si="79"/>
        <v>6.36</v>
      </c>
    </row>
    <row r="1242" spans="1:6" x14ac:dyDescent="0.25">
      <c r="A1242" s="1">
        <v>34705</v>
      </c>
      <c r="B1242">
        <v>9.2200000000000006</v>
      </c>
      <c r="C1242" s="11">
        <f t="shared" si="76"/>
        <v>9.2200000000000004E-2</v>
      </c>
      <c r="D1242">
        <f t="shared" si="77"/>
        <v>1995</v>
      </c>
      <c r="E1242" t="str">
        <f t="shared" si="78"/>
        <v>Jan-1995</v>
      </c>
      <c r="F1242" s="12">
        <f t="shared" si="79"/>
        <v>6.36</v>
      </c>
    </row>
    <row r="1243" spans="1:6" x14ac:dyDescent="0.25">
      <c r="A1243" s="1">
        <v>34712</v>
      </c>
      <c r="B1243">
        <v>9.19</v>
      </c>
      <c r="C1243" s="11">
        <f t="shared" si="76"/>
        <v>9.1899999999999996E-2</v>
      </c>
      <c r="D1243">
        <f t="shared" si="77"/>
        <v>1995</v>
      </c>
      <c r="E1243" t="str">
        <f t="shared" si="78"/>
        <v>Jan-1995</v>
      </c>
      <c r="F1243" s="12">
        <f t="shared" si="79"/>
        <v>6.36</v>
      </c>
    </row>
    <row r="1244" spans="1:6" x14ac:dyDescent="0.25">
      <c r="A1244" s="1">
        <v>34719</v>
      </c>
      <c r="B1244">
        <v>9.0500000000000007</v>
      </c>
      <c r="C1244" s="11">
        <f t="shared" si="76"/>
        <v>9.0500000000000011E-2</v>
      </c>
      <c r="D1244">
        <f t="shared" si="77"/>
        <v>1995</v>
      </c>
      <c r="E1244" t="str">
        <f t="shared" si="78"/>
        <v>Jan-1995</v>
      </c>
      <c r="F1244" s="12">
        <f t="shared" si="79"/>
        <v>6.36</v>
      </c>
    </row>
    <row r="1245" spans="1:6" x14ac:dyDescent="0.25">
      <c r="A1245" s="1">
        <v>34726</v>
      </c>
      <c r="B1245">
        <v>9.1300000000000008</v>
      </c>
      <c r="C1245" s="11">
        <f t="shared" si="76"/>
        <v>9.1300000000000006E-2</v>
      </c>
      <c r="D1245">
        <f t="shared" si="77"/>
        <v>1995</v>
      </c>
      <c r="E1245" t="str">
        <f t="shared" si="78"/>
        <v>Jan-1995</v>
      </c>
      <c r="F1245" s="12">
        <f t="shared" si="79"/>
        <v>6.36</v>
      </c>
    </row>
    <row r="1246" spans="1:6" x14ac:dyDescent="0.25">
      <c r="A1246" s="1">
        <v>34733</v>
      </c>
      <c r="B1246">
        <v>8.94</v>
      </c>
      <c r="C1246" s="11">
        <f t="shared" si="76"/>
        <v>8.9399999999999993E-2</v>
      </c>
      <c r="D1246">
        <f t="shared" si="77"/>
        <v>1995</v>
      </c>
      <c r="E1246" t="str">
        <f t="shared" si="78"/>
        <v>Feb-1995</v>
      </c>
      <c r="F1246" s="12">
        <f t="shared" si="79"/>
        <v>6.36</v>
      </c>
    </row>
    <row r="1247" spans="1:6" x14ac:dyDescent="0.25">
      <c r="A1247" s="1">
        <v>34740</v>
      </c>
      <c r="B1247">
        <v>8.8000000000000007</v>
      </c>
      <c r="C1247" s="11">
        <f t="shared" si="76"/>
        <v>8.8000000000000009E-2</v>
      </c>
      <c r="D1247">
        <f t="shared" si="77"/>
        <v>1995</v>
      </c>
      <c r="E1247" t="str">
        <f t="shared" si="78"/>
        <v>Feb-1995</v>
      </c>
      <c r="F1247" s="12">
        <f t="shared" si="79"/>
        <v>6.36</v>
      </c>
    </row>
    <row r="1248" spans="1:6" x14ac:dyDescent="0.25">
      <c r="A1248" s="1">
        <v>34747</v>
      </c>
      <c r="B1248">
        <v>8.84</v>
      </c>
      <c r="C1248" s="11">
        <f t="shared" si="76"/>
        <v>8.8399999999999992E-2</v>
      </c>
      <c r="D1248">
        <f t="shared" si="77"/>
        <v>1995</v>
      </c>
      <c r="E1248" t="str">
        <f t="shared" si="78"/>
        <v>Feb-1995</v>
      </c>
      <c r="F1248" s="12">
        <f t="shared" si="79"/>
        <v>6.36</v>
      </c>
    </row>
    <row r="1249" spans="1:6" x14ac:dyDescent="0.25">
      <c r="A1249" s="1">
        <v>34754</v>
      </c>
      <c r="B1249">
        <v>8.73</v>
      </c>
      <c r="C1249" s="11">
        <f t="shared" si="76"/>
        <v>8.7300000000000003E-2</v>
      </c>
      <c r="D1249">
        <f t="shared" si="77"/>
        <v>1995</v>
      </c>
      <c r="E1249" t="str">
        <f t="shared" si="78"/>
        <v>Feb-1995</v>
      </c>
      <c r="F1249" s="12">
        <f t="shared" si="79"/>
        <v>6.36</v>
      </c>
    </row>
    <row r="1250" spans="1:6" x14ac:dyDescent="0.25">
      <c r="A1250" s="1">
        <v>34761</v>
      </c>
      <c r="B1250">
        <v>8.5299999999999994</v>
      </c>
      <c r="C1250" s="11">
        <f t="shared" si="76"/>
        <v>8.5299999999999987E-2</v>
      </c>
      <c r="D1250">
        <f t="shared" si="77"/>
        <v>1995</v>
      </c>
      <c r="E1250" t="str">
        <f t="shared" si="78"/>
        <v>Mar-1995</v>
      </c>
      <c r="F1250" s="12">
        <f t="shared" si="79"/>
        <v>6.36</v>
      </c>
    </row>
    <row r="1251" spans="1:6" x14ac:dyDescent="0.25">
      <c r="A1251" s="1">
        <v>34768</v>
      </c>
      <c r="B1251">
        <v>8.6199999999999992</v>
      </c>
      <c r="C1251" s="11">
        <f t="shared" si="76"/>
        <v>8.6199999999999999E-2</v>
      </c>
      <c r="D1251">
        <f t="shared" si="77"/>
        <v>1995</v>
      </c>
      <c r="E1251" t="str">
        <f t="shared" si="78"/>
        <v>Mar-1995</v>
      </c>
      <c r="F1251" s="12">
        <f t="shared" si="79"/>
        <v>6.36</v>
      </c>
    </row>
    <row r="1252" spans="1:6" x14ac:dyDescent="0.25">
      <c r="A1252" s="1">
        <v>34775</v>
      </c>
      <c r="B1252">
        <v>8.3800000000000008</v>
      </c>
      <c r="C1252" s="11">
        <f t="shared" si="76"/>
        <v>8.3800000000000013E-2</v>
      </c>
      <c r="D1252">
        <f t="shared" si="77"/>
        <v>1995</v>
      </c>
      <c r="E1252" t="str">
        <f t="shared" si="78"/>
        <v>Mar-1995</v>
      </c>
      <c r="F1252" s="12">
        <f t="shared" si="79"/>
        <v>6.36</v>
      </c>
    </row>
    <row r="1253" spans="1:6" x14ac:dyDescent="0.25">
      <c r="A1253" s="1">
        <v>34782</v>
      </c>
      <c r="B1253">
        <v>8.4</v>
      </c>
      <c r="C1253" s="11">
        <f t="shared" si="76"/>
        <v>8.4000000000000005E-2</v>
      </c>
      <c r="D1253">
        <f t="shared" si="77"/>
        <v>1995</v>
      </c>
      <c r="E1253" t="str">
        <f t="shared" si="78"/>
        <v>Mar-1995</v>
      </c>
      <c r="F1253" s="12">
        <f t="shared" si="79"/>
        <v>6.36</v>
      </c>
    </row>
    <row r="1254" spans="1:6" x14ac:dyDescent="0.25">
      <c r="A1254" s="1">
        <v>34789</v>
      </c>
      <c r="B1254">
        <v>8.3800000000000008</v>
      </c>
      <c r="C1254" s="11">
        <f t="shared" si="76"/>
        <v>8.3800000000000013E-2</v>
      </c>
      <c r="D1254">
        <f t="shared" si="77"/>
        <v>1995</v>
      </c>
      <c r="E1254" t="str">
        <f t="shared" si="78"/>
        <v>Mar-1995</v>
      </c>
      <c r="F1254" s="12">
        <f t="shared" si="79"/>
        <v>6.36</v>
      </c>
    </row>
    <row r="1255" spans="1:6" x14ac:dyDescent="0.25">
      <c r="A1255" s="1">
        <v>34796</v>
      </c>
      <c r="B1255">
        <v>8.41</v>
      </c>
      <c r="C1255" s="11">
        <f t="shared" si="76"/>
        <v>8.4100000000000008E-2</v>
      </c>
      <c r="D1255">
        <f t="shared" si="77"/>
        <v>1995</v>
      </c>
      <c r="E1255" t="str">
        <f t="shared" si="78"/>
        <v>Apr-1995</v>
      </c>
      <c r="F1255" s="12">
        <f t="shared" si="79"/>
        <v>6.36</v>
      </c>
    </row>
    <row r="1256" spans="1:6" x14ac:dyDescent="0.25">
      <c r="A1256" s="1">
        <v>34803</v>
      </c>
      <c r="B1256">
        <v>8.3699999999999992</v>
      </c>
      <c r="C1256" s="11">
        <f t="shared" si="76"/>
        <v>8.3699999999999997E-2</v>
      </c>
      <c r="D1256">
        <f t="shared" si="77"/>
        <v>1995</v>
      </c>
      <c r="E1256" t="str">
        <f t="shared" si="78"/>
        <v>Apr-1995</v>
      </c>
      <c r="F1256" s="12">
        <f t="shared" si="79"/>
        <v>6.36</v>
      </c>
    </row>
    <row r="1257" spans="1:6" x14ac:dyDescent="0.25">
      <c r="A1257" s="1">
        <v>34810</v>
      </c>
      <c r="B1257">
        <v>8.24</v>
      </c>
      <c r="C1257" s="11">
        <f t="shared" si="76"/>
        <v>8.2400000000000001E-2</v>
      </c>
      <c r="D1257">
        <f t="shared" si="77"/>
        <v>1995</v>
      </c>
      <c r="E1257" t="str">
        <f t="shared" si="78"/>
        <v>Apr-1995</v>
      </c>
      <c r="F1257" s="12">
        <f t="shared" si="79"/>
        <v>6.36</v>
      </c>
    </row>
    <row r="1258" spans="1:6" x14ac:dyDescent="0.25">
      <c r="A1258" s="1">
        <v>34817</v>
      </c>
      <c r="B1258">
        <v>8.26</v>
      </c>
      <c r="C1258" s="11">
        <f t="shared" si="76"/>
        <v>8.2599999999999993E-2</v>
      </c>
      <c r="D1258">
        <f t="shared" si="77"/>
        <v>1995</v>
      </c>
      <c r="E1258" t="str">
        <f t="shared" si="78"/>
        <v>Apr-1995</v>
      </c>
      <c r="F1258" s="12">
        <f t="shared" si="79"/>
        <v>6.36</v>
      </c>
    </row>
    <row r="1259" spans="1:6" x14ac:dyDescent="0.25">
      <c r="A1259" s="1">
        <v>34824</v>
      </c>
      <c r="B1259">
        <v>8.27</v>
      </c>
      <c r="C1259" s="11">
        <f t="shared" si="76"/>
        <v>8.2699999999999996E-2</v>
      </c>
      <c r="D1259">
        <f t="shared" si="77"/>
        <v>1995</v>
      </c>
      <c r="E1259" t="str">
        <f t="shared" si="78"/>
        <v>May-1995</v>
      </c>
      <c r="F1259" s="12">
        <f t="shared" si="79"/>
        <v>6.36</v>
      </c>
    </row>
    <row r="1260" spans="1:6" x14ac:dyDescent="0.25">
      <c r="A1260" s="1">
        <v>34831</v>
      </c>
      <c r="B1260">
        <v>7.87</v>
      </c>
      <c r="C1260" s="11">
        <f t="shared" si="76"/>
        <v>7.8700000000000006E-2</v>
      </c>
      <c r="D1260">
        <f t="shared" si="77"/>
        <v>1995</v>
      </c>
      <c r="E1260" t="str">
        <f t="shared" si="78"/>
        <v>May-1995</v>
      </c>
      <c r="F1260" s="12">
        <f t="shared" si="79"/>
        <v>6.36</v>
      </c>
    </row>
    <row r="1261" spans="1:6" x14ac:dyDescent="0.25">
      <c r="A1261" s="1">
        <v>34838</v>
      </c>
      <c r="B1261">
        <v>7.83</v>
      </c>
      <c r="C1261" s="11">
        <f t="shared" si="76"/>
        <v>7.8299999999999995E-2</v>
      </c>
      <c r="D1261">
        <f t="shared" si="77"/>
        <v>1995</v>
      </c>
      <c r="E1261" t="str">
        <f t="shared" si="78"/>
        <v>May-1995</v>
      </c>
      <c r="F1261" s="12">
        <f t="shared" si="79"/>
        <v>6.36</v>
      </c>
    </row>
    <row r="1262" spans="1:6" x14ac:dyDescent="0.25">
      <c r="A1262" s="1">
        <v>34845</v>
      </c>
      <c r="B1262">
        <v>7.85</v>
      </c>
      <c r="C1262" s="11">
        <f t="shared" si="76"/>
        <v>7.85E-2</v>
      </c>
      <c r="D1262">
        <f t="shared" si="77"/>
        <v>1995</v>
      </c>
      <c r="E1262" t="str">
        <f t="shared" si="78"/>
        <v>May-1995</v>
      </c>
      <c r="F1262" s="12">
        <f t="shared" si="79"/>
        <v>6.36</v>
      </c>
    </row>
    <row r="1263" spans="1:6" x14ac:dyDescent="0.25">
      <c r="A1263" s="1">
        <v>34852</v>
      </c>
      <c r="B1263">
        <v>7.71</v>
      </c>
      <c r="C1263" s="11">
        <f t="shared" si="76"/>
        <v>7.7100000000000002E-2</v>
      </c>
      <c r="D1263">
        <f t="shared" si="77"/>
        <v>1995</v>
      </c>
      <c r="E1263" t="str">
        <f t="shared" si="78"/>
        <v>Jun-1995</v>
      </c>
      <c r="F1263" s="12">
        <f t="shared" si="79"/>
        <v>6.36</v>
      </c>
    </row>
    <row r="1264" spans="1:6" x14ac:dyDescent="0.25">
      <c r="A1264" s="1">
        <v>34859</v>
      </c>
      <c r="B1264">
        <v>7.51</v>
      </c>
      <c r="C1264" s="11">
        <f t="shared" si="76"/>
        <v>7.51E-2</v>
      </c>
      <c r="D1264">
        <f t="shared" si="77"/>
        <v>1995</v>
      </c>
      <c r="E1264" t="str">
        <f t="shared" si="78"/>
        <v>Jun-1995</v>
      </c>
      <c r="F1264" s="12">
        <f t="shared" si="79"/>
        <v>6.36</v>
      </c>
    </row>
    <row r="1265" spans="1:6" x14ac:dyDescent="0.25">
      <c r="A1265" s="1">
        <v>34866</v>
      </c>
      <c r="B1265">
        <v>7.55</v>
      </c>
      <c r="C1265" s="11">
        <f t="shared" si="76"/>
        <v>7.5499999999999998E-2</v>
      </c>
      <c r="D1265">
        <f t="shared" si="77"/>
        <v>1995</v>
      </c>
      <c r="E1265" t="str">
        <f t="shared" si="78"/>
        <v>Jun-1995</v>
      </c>
      <c r="F1265" s="12">
        <f t="shared" si="79"/>
        <v>6.36</v>
      </c>
    </row>
    <row r="1266" spans="1:6" x14ac:dyDescent="0.25">
      <c r="A1266" s="1">
        <v>34873</v>
      </c>
      <c r="B1266">
        <v>7.53</v>
      </c>
      <c r="C1266" s="11">
        <f t="shared" si="76"/>
        <v>7.5300000000000006E-2</v>
      </c>
      <c r="D1266">
        <f t="shared" si="77"/>
        <v>1995</v>
      </c>
      <c r="E1266" t="str">
        <f t="shared" si="78"/>
        <v>Jun-1995</v>
      </c>
      <c r="F1266" s="12">
        <f t="shared" si="79"/>
        <v>6.36</v>
      </c>
    </row>
    <row r="1267" spans="1:6" x14ac:dyDescent="0.25">
      <c r="A1267" s="1">
        <v>34880</v>
      </c>
      <c r="B1267">
        <v>7.53</v>
      </c>
      <c r="C1267" s="11">
        <f t="shared" si="76"/>
        <v>7.5300000000000006E-2</v>
      </c>
      <c r="D1267">
        <f t="shared" si="77"/>
        <v>1995</v>
      </c>
      <c r="E1267" t="str">
        <f t="shared" si="78"/>
        <v>Jun-1995</v>
      </c>
      <c r="F1267" s="12">
        <f t="shared" si="79"/>
        <v>6.36</v>
      </c>
    </row>
    <row r="1268" spans="1:6" x14ac:dyDescent="0.25">
      <c r="A1268" s="1">
        <v>34887</v>
      </c>
      <c r="B1268">
        <v>7.63</v>
      </c>
      <c r="C1268" s="11">
        <f t="shared" si="76"/>
        <v>7.6299999999999993E-2</v>
      </c>
      <c r="D1268">
        <f t="shared" si="77"/>
        <v>1995</v>
      </c>
      <c r="E1268" t="str">
        <f t="shared" si="78"/>
        <v>Jul-1995</v>
      </c>
      <c r="F1268" s="12">
        <f t="shared" si="79"/>
        <v>6.36</v>
      </c>
    </row>
    <row r="1269" spans="1:6" x14ac:dyDescent="0.25">
      <c r="A1269" s="1">
        <v>34894</v>
      </c>
      <c r="B1269">
        <v>7.41</v>
      </c>
      <c r="C1269" s="11">
        <f t="shared" si="76"/>
        <v>7.4099999999999999E-2</v>
      </c>
      <c r="D1269">
        <f t="shared" si="77"/>
        <v>1995</v>
      </c>
      <c r="E1269" t="str">
        <f t="shared" si="78"/>
        <v>Jul-1995</v>
      </c>
      <c r="F1269" s="12">
        <f t="shared" si="79"/>
        <v>6.36</v>
      </c>
    </row>
    <row r="1270" spans="1:6" x14ac:dyDescent="0.25">
      <c r="A1270" s="1">
        <v>34901</v>
      </c>
      <c r="B1270">
        <v>7.6</v>
      </c>
      <c r="C1270" s="11">
        <f t="shared" si="76"/>
        <v>7.5999999999999998E-2</v>
      </c>
      <c r="D1270">
        <f t="shared" si="77"/>
        <v>1995</v>
      </c>
      <c r="E1270" t="str">
        <f t="shared" si="78"/>
        <v>Jul-1995</v>
      </c>
      <c r="F1270" s="12">
        <f t="shared" si="79"/>
        <v>6.36</v>
      </c>
    </row>
    <row r="1271" spans="1:6" x14ac:dyDescent="0.25">
      <c r="A1271" s="1">
        <v>34908</v>
      </c>
      <c r="B1271">
        <v>7.79</v>
      </c>
      <c r="C1271" s="11">
        <f t="shared" si="76"/>
        <v>7.7899999999999997E-2</v>
      </c>
      <c r="D1271">
        <f t="shared" si="77"/>
        <v>1995</v>
      </c>
      <c r="E1271" t="str">
        <f t="shared" si="78"/>
        <v>Jul-1995</v>
      </c>
      <c r="F1271" s="12">
        <f t="shared" si="79"/>
        <v>6.36</v>
      </c>
    </row>
    <row r="1272" spans="1:6" x14ac:dyDescent="0.25">
      <c r="A1272" s="1">
        <v>34915</v>
      </c>
      <c r="B1272">
        <v>7.82</v>
      </c>
      <c r="C1272" s="11">
        <f t="shared" si="76"/>
        <v>7.8200000000000006E-2</v>
      </c>
      <c r="D1272">
        <f t="shared" si="77"/>
        <v>1995</v>
      </c>
      <c r="E1272" t="str">
        <f t="shared" si="78"/>
        <v>Aug-1995</v>
      </c>
      <c r="F1272" s="12">
        <f t="shared" si="79"/>
        <v>6.36</v>
      </c>
    </row>
    <row r="1273" spans="1:6" x14ac:dyDescent="0.25">
      <c r="A1273" s="1">
        <v>34922</v>
      </c>
      <c r="B1273">
        <v>7.8</v>
      </c>
      <c r="C1273" s="11">
        <f t="shared" si="76"/>
        <v>7.8E-2</v>
      </c>
      <c r="D1273">
        <f t="shared" si="77"/>
        <v>1995</v>
      </c>
      <c r="E1273" t="str">
        <f t="shared" si="78"/>
        <v>Aug-1995</v>
      </c>
      <c r="F1273" s="12">
        <f t="shared" si="79"/>
        <v>6.36</v>
      </c>
    </row>
    <row r="1274" spans="1:6" x14ac:dyDescent="0.25">
      <c r="A1274" s="1">
        <v>34929</v>
      </c>
      <c r="B1274">
        <v>7.94</v>
      </c>
      <c r="C1274" s="11">
        <f t="shared" si="76"/>
        <v>7.9399999999999998E-2</v>
      </c>
      <c r="D1274">
        <f t="shared" si="77"/>
        <v>1995</v>
      </c>
      <c r="E1274" t="str">
        <f t="shared" si="78"/>
        <v>Aug-1995</v>
      </c>
      <c r="F1274" s="12">
        <f t="shared" si="79"/>
        <v>6.36</v>
      </c>
    </row>
    <row r="1275" spans="1:6" x14ac:dyDescent="0.25">
      <c r="A1275" s="1">
        <v>34936</v>
      </c>
      <c r="B1275">
        <v>7.88</v>
      </c>
      <c r="C1275" s="11">
        <f t="shared" si="76"/>
        <v>7.8799999999999995E-2</v>
      </c>
      <c r="D1275">
        <f t="shared" si="77"/>
        <v>1995</v>
      </c>
      <c r="E1275" t="str">
        <f t="shared" si="78"/>
        <v>Aug-1995</v>
      </c>
      <c r="F1275" s="12">
        <f t="shared" si="79"/>
        <v>6.36</v>
      </c>
    </row>
    <row r="1276" spans="1:6" x14ac:dyDescent="0.25">
      <c r="A1276" s="1">
        <v>34943</v>
      </c>
      <c r="B1276">
        <v>7.76</v>
      </c>
      <c r="C1276" s="11">
        <f t="shared" si="76"/>
        <v>7.7600000000000002E-2</v>
      </c>
      <c r="D1276">
        <f t="shared" si="77"/>
        <v>1995</v>
      </c>
      <c r="E1276" t="str">
        <f t="shared" si="78"/>
        <v>Sep-1995</v>
      </c>
      <c r="F1276" s="12">
        <f t="shared" si="79"/>
        <v>6.36</v>
      </c>
    </row>
    <row r="1277" spans="1:6" x14ac:dyDescent="0.25">
      <c r="A1277" s="1">
        <v>34950</v>
      </c>
      <c r="B1277">
        <v>7.63</v>
      </c>
      <c r="C1277" s="11">
        <f t="shared" si="76"/>
        <v>7.6299999999999993E-2</v>
      </c>
      <c r="D1277">
        <f t="shared" si="77"/>
        <v>1995</v>
      </c>
      <c r="E1277" t="str">
        <f t="shared" si="78"/>
        <v>Sep-1995</v>
      </c>
      <c r="F1277" s="12">
        <f t="shared" si="79"/>
        <v>6.36</v>
      </c>
    </row>
    <row r="1278" spans="1:6" x14ac:dyDescent="0.25">
      <c r="A1278" s="1">
        <v>34957</v>
      </c>
      <c r="B1278">
        <v>7.6</v>
      </c>
      <c r="C1278" s="11">
        <f t="shared" si="76"/>
        <v>7.5999999999999998E-2</v>
      </c>
      <c r="D1278">
        <f t="shared" si="77"/>
        <v>1995</v>
      </c>
      <c r="E1278" t="str">
        <f t="shared" si="78"/>
        <v>Sep-1995</v>
      </c>
      <c r="F1278" s="12">
        <f t="shared" si="79"/>
        <v>6.36</v>
      </c>
    </row>
    <row r="1279" spans="1:6" x14ac:dyDescent="0.25">
      <c r="A1279" s="1">
        <v>34964</v>
      </c>
      <c r="B1279">
        <v>7.57</v>
      </c>
      <c r="C1279" s="11">
        <f t="shared" si="76"/>
        <v>7.5700000000000003E-2</v>
      </c>
      <c r="D1279">
        <f t="shared" si="77"/>
        <v>1995</v>
      </c>
      <c r="E1279" t="str">
        <f t="shared" si="78"/>
        <v>Sep-1995</v>
      </c>
      <c r="F1279" s="12">
        <f t="shared" si="79"/>
        <v>6.36</v>
      </c>
    </row>
    <row r="1280" spans="1:6" x14ac:dyDescent="0.25">
      <c r="A1280" s="1">
        <v>34971</v>
      </c>
      <c r="B1280">
        <v>7.62</v>
      </c>
      <c r="C1280" s="11">
        <f t="shared" si="76"/>
        <v>7.6200000000000004E-2</v>
      </c>
      <c r="D1280">
        <f t="shared" si="77"/>
        <v>1995</v>
      </c>
      <c r="E1280" t="str">
        <f t="shared" si="78"/>
        <v>Sep-1995</v>
      </c>
      <c r="F1280" s="12">
        <f t="shared" si="79"/>
        <v>6.36</v>
      </c>
    </row>
    <row r="1281" spans="1:6" x14ac:dyDescent="0.25">
      <c r="A1281" s="1">
        <v>34978</v>
      </c>
      <c r="B1281">
        <v>7.57</v>
      </c>
      <c r="C1281" s="11">
        <f t="shared" si="76"/>
        <v>7.5700000000000003E-2</v>
      </c>
      <c r="D1281">
        <f t="shared" si="77"/>
        <v>1995</v>
      </c>
      <c r="E1281" t="str">
        <f t="shared" si="78"/>
        <v>Oct-1995</v>
      </c>
      <c r="F1281" s="12">
        <f t="shared" si="79"/>
        <v>6.36</v>
      </c>
    </row>
    <row r="1282" spans="1:6" x14ac:dyDescent="0.25">
      <c r="A1282" s="1">
        <v>34985</v>
      </c>
      <c r="B1282">
        <v>7.5</v>
      </c>
      <c r="C1282" s="11">
        <f t="shared" ref="C1282:C1345" si="80">B1282/100</f>
        <v>7.4999999999999997E-2</v>
      </c>
      <c r="D1282">
        <f t="shared" ref="D1282:D1345" si="81">YEAR(A1282)</f>
        <v>1995</v>
      </c>
      <c r="E1282" t="str">
        <f t="shared" ref="E1282:E1345" si="82">TEXT(A1282,"MMM-YYYY")</f>
        <v>Oct-1995</v>
      </c>
      <c r="F1282" s="12">
        <f t="shared" ref="F1282:F1345" si="83">$H$2</f>
        <v>6.36</v>
      </c>
    </row>
    <row r="1283" spans="1:6" x14ac:dyDescent="0.25">
      <c r="A1283" s="1">
        <v>34992</v>
      </c>
      <c r="B1283">
        <v>7.38</v>
      </c>
      <c r="C1283" s="11">
        <f t="shared" si="80"/>
        <v>7.3800000000000004E-2</v>
      </c>
      <c r="D1283">
        <f t="shared" si="81"/>
        <v>1995</v>
      </c>
      <c r="E1283" t="str">
        <f t="shared" si="82"/>
        <v>Oct-1995</v>
      </c>
      <c r="F1283" s="12">
        <f t="shared" si="83"/>
        <v>6.36</v>
      </c>
    </row>
    <row r="1284" spans="1:6" x14ac:dyDescent="0.25">
      <c r="A1284" s="1">
        <v>34999</v>
      </c>
      <c r="B1284">
        <v>7.45</v>
      </c>
      <c r="C1284" s="11">
        <f t="shared" si="80"/>
        <v>7.4499999999999997E-2</v>
      </c>
      <c r="D1284">
        <f t="shared" si="81"/>
        <v>1995</v>
      </c>
      <c r="E1284" t="str">
        <f t="shared" si="82"/>
        <v>Oct-1995</v>
      </c>
      <c r="F1284" s="12">
        <f t="shared" si="83"/>
        <v>6.36</v>
      </c>
    </row>
    <row r="1285" spans="1:6" x14ac:dyDescent="0.25">
      <c r="A1285" s="1">
        <v>35006</v>
      </c>
      <c r="B1285">
        <v>7.44</v>
      </c>
      <c r="C1285" s="11">
        <f t="shared" si="80"/>
        <v>7.4400000000000008E-2</v>
      </c>
      <c r="D1285">
        <f t="shared" si="81"/>
        <v>1995</v>
      </c>
      <c r="E1285" t="str">
        <f t="shared" si="82"/>
        <v>Nov-1995</v>
      </c>
      <c r="F1285" s="12">
        <f t="shared" si="83"/>
        <v>6.36</v>
      </c>
    </row>
    <row r="1286" spans="1:6" x14ac:dyDescent="0.25">
      <c r="A1286" s="1">
        <v>35012</v>
      </c>
      <c r="B1286">
        <v>7.37</v>
      </c>
      <c r="C1286" s="11">
        <f t="shared" si="80"/>
        <v>7.3700000000000002E-2</v>
      </c>
      <c r="D1286">
        <f t="shared" si="81"/>
        <v>1995</v>
      </c>
      <c r="E1286" t="str">
        <f t="shared" si="82"/>
        <v>Nov-1995</v>
      </c>
      <c r="F1286" s="12">
        <f t="shared" si="83"/>
        <v>6.36</v>
      </c>
    </row>
    <row r="1287" spans="1:6" x14ac:dyDescent="0.25">
      <c r="A1287" s="1">
        <v>35020</v>
      </c>
      <c r="B1287">
        <v>7.35</v>
      </c>
      <c r="C1287" s="11">
        <f t="shared" si="80"/>
        <v>7.3499999999999996E-2</v>
      </c>
      <c r="D1287">
        <f t="shared" si="81"/>
        <v>1995</v>
      </c>
      <c r="E1287" t="str">
        <f t="shared" si="82"/>
        <v>Nov-1995</v>
      </c>
      <c r="F1287" s="12">
        <f t="shared" si="83"/>
        <v>6.36</v>
      </c>
    </row>
    <row r="1288" spans="1:6" x14ac:dyDescent="0.25">
      <c r="A1288" s="1">
        <v>35027</v>
      </c>
      <c r="B1288">
        <v>7.35</v>
      </c>
      <c r="C1288" s="11">
        <f t="shared" si="80"/>
        <v>7.3499999999999996E-2</v>
      </c>
      <c r="D1288">
        <f t="shared" si="81"/>
        <v>1995</v>
      </c>
      <c r="E1288" t="str">
        <f t="shared" si="82"/>
        <v>Nov-1995</v>
      </c>
      <c r="F1288" s="12">
        <f t="shared" si="83"/>
        <v>6.36</v>
      </c>
    </row>
    <row r="1289" spans="1:6" x14ac:dyDescent="0.25">
      <c r="A1289" s="1">
        <v>35034</v>
      </c>
      <c r="B1289">
        <v>7.33</v>
      </c>
      <c r="C1289" s="11">
        <f t="shared" si="80"/>
        <v>7.3300000000000004E-2</v>
      </c>
      <c r="D1289">
        <f t="shared" si="81"/>
        <v>1995</v>
      </c>
      <c r="E1289" t="str">
        <f t="shared" si="82"/>
        <v>Dec-1995</v>
      </c>
      <c r="F1289" s="12">
        <f t="shared" si="83"/>
        <v>6.36</v>
      </c>
    </row>
    <row r="1290" spans="1:6" x14ac:dyDescent="0.25">
      <c r="A1290" s="1">
        <v>35041</v>
      </c>
      <c r="B1290">
        <v>7.18</v>
      </c>
      <c r="C1290" s="11">
        <f t="shared" si="80"/>
        <v>7.1800000000000003E-2</v>
      </c>
      <c r="D1290">
        <f t="shared" si="81"/>
        <v>1995</v>
      </c>
      <c r="E1290" t="str">
        <f t="shared" si="82"/>
        <v>Dec-1995</v>
      </c>
      <c r="F1290" s="12">
        <f t="shared" si="83"/>
        <v>6.36</v>
      </c>
    </row>
    <row r="1291" spans="1:6" x14ac:dyDescent="0.25">
      <c r="A1291" s="1">
        <v>35048</v>
      </c>
      <c r="B1291">
        <v>7.15</v>
      </c>
      <c r="C1291" s="11">
        <f t="shared" si="80"/>
        <v>7.1500000000000008E-2</v>
      </c>
      <c r="D1291">
        <f t="shared" si="81"/>
        <v>1995</v>
      </c>
      <c r="E1291" t="str">
        <f t="shared" si="82"/>
        <v>Dec-1995</v>
      </c>
      <c r="F1291" s="12">
        <f t="shared" si="83"/>
        <v>6.36</v>
      </c>
    </row>
    <row r="1292" spans="1:6" x14ac:dyDescent="0.25">
      <c r="A1292" s="1">
        <v>35055</v>
      </c>
      <c r="B1292">
        <v>7.23</v>
      </c>
      <c r="C1292" s="11">
        <f t="shared" si="80"/>
        <v>7.2300000000000003E-2</v>
      </c>
      <c r="D1292">
        <f t="shared" si="81"/>
        <v>1995</v>
      </c>
      <c r="E1292" t="str">
        <f t="shared" si="82"/>
        <v>Dec-1995</v>
      </c>
      <c r="F1292" s="12">
        <f t="shared" si="83"/>
        <v>6.36</v>
      </c>
    </row>
    <row r="1293" spans="1:6" x14ac:dyDescent="0.25">
      <c r="A1293" s="1">
        <v>35062</v>
      </c>
      <c r="B1293">
        <v>7.11</v>
      </c>
      <c r="C1293" s="11">
        <f t="shared" si="80"/>
        <v>7.1099999999999997E-2</v>
      </c>
      <c r="D1293">
        <f t="shared" si="81"/>
        <v>1995</v>
      </c>
      <c r="E1293" t="str">
        <f t="shared" si="82"/>
        <v>Dec-1995</v>
      </c>
      <c r="F1293" s="12">
        <f t="shared" si="83"/>
        <v>6.36</v>
      </c>
    </row>
    <row r="1294" spans="1:6" x14ac:dyDescent="0.25">
      <c r="A1294" s="1">
        <v>35069</v>
      </c>
      <c r="B1294">
        <v>7.02</v>
      </c>
      <c r="C1294" s="11">
        <f t="shared" si="80"/>
        <v>7.0199999999999999E-2</v>
      </c>
      <c r="D1294">
        <f t="shared" si="81"/>
        <v>1996</v>
      </c>
      <c r="E1294" t="str">
        <f t="shared" si="82"/>
        <v>Jan-1996</v>
      </c>
      <c r="F1294" s="12">
        <f t="shared" si="83"/>
        <v>6.36</v>
      </c>
    </row>
    <row r="1295" spans="1:6" x14ac:dyDescent="0.25">
      <c r="A1295" s="1">
        <v>35076</v>
      </c>
      <c r="B1295">
        <v>7.08</v>
      </c>
      <c r="C1295" s="11">
        <f t="shared" si="80"/>
        <v>7.0800000000000002E-2</v>
      </c>
      <c r="D1295">
        <f t="shared" si="81"/>
        <v>1996</v>
      </c>
      <c r="E1295" t="str">
        <f t="shared" si="82"/>
        <v>Jan-1996</v>
      </c>
      <c r="F1295" s="12">
        <f t="shared" si="83"/>
        <v>6.36</v>
      </c>
    </row>
    <row r="1296" spans="1:6" x14ac:dyDescent="0.25">
      <c r="A1296" s="1">
        <v>35083</v>
      </c>
      <c r="B1296">
        <v>7.02</v>
      </c>
      <c r="C1296" s="11">
        <f t="shared" si="80"/>
        <v>7.0199999999999999E-2</v>
      </c>
      <c r="D1296">
        <f t="shared" si="81"/>
        <v>1996</v>
      </c>
      <c r="E1296" t="str">
        <f t="shared" si="82"/>
        <v>Jan-1996</v>
      </c>
      <c r="F1296" s="12">
        <f t="shared" si="83"/>
        <v>6.36</v>
      </c>
    </row>
    <row r="1297" spans="1:6" x14ac:dyDescent="0.25">
      <c r="A1297" s="1">
        <v>35090</v>
      </c>
      <c r="B1297">
        <v>7</v>
      </c>
      <c r="C1297" s="11">
        <f t="shared" si="80"/>
        <v>7.0000000000000007E-2</v>
      </c>
      <c r="D1297">
        <f t="shared" si="81"/>
        <v>1996</v>
      </c>
      <c r="E1297" t="str">
        <f t="shared" si="82"/>
        <v>Jan-1996</v>
      </c>
      <c r="F1297" s="12">
        <f t="shared" si="83"/>
        <v>6.36</v>
      </c>
    </row>
    <row r="1298" spans="1:6" x14ac:dyDescent="0.25">
      <c r="A1298" s="1">
        <v>35097</v>
      </c>
      <c r="B1298">
        <v>7.02</v>
      </c>
      <c r="C1298" s="11">
        <f t="shared" si="80"/>
        <v>7.0199999999999999E-2</v>
      </c>
      <c r="D1298">
        <f t="shared" si="81"/>
        <v>1996</v>
      </c>
      <c r="E1298" t="str">
        <f t="shared" si="82"/>
        <v>Feb-1996</v>
      </c>
      <c r="F1298" s="12">
        <f t="shared" si="83"/>
        <v>6.36</v>
      </c>
    </row>
    <row r="1299" spans="1:6" x14ac:dyDescent="0.25">
      <c r="A1299" s="1">
        <v>35104</v>
      </c>
      <c r="B1299">
        <v>7.02</v>
      </c>
      <c r="C1299" s="11">
        <f t="shared" si="80"/>
        <v>7.0199999999999999E-2</v>
      </c>
      <c r="D1299">
        <f t="shared" si="81"/>
        <v>1996</v>
      </c>
      <c r="E1299" t="str">
        <f t="shared" si="82"/>
        <v>Feb-1996</v>
      </c>
      <c r="F1299" s="12">
        <f t="shared" si="83"/>
        <v>6.36</v>
      </c>
    </row>
    <row r="1300" spans="1:6" x14ac:dyDescent="0.25">
      <c r="A1300" s="1">
        <v>35111</v>
      </c>
      <c r="B1300">
        <v>6.94</v>
      </c>
      <c r="C1300" s="11">
        <f t="shared" si="80"/>
        <v>6.9400000000000003E-2</v>
      </c>
      <c r="D1300">
        <f t="shared" si="81"/>
        <v>1996</v>
      </c>
      <c r="E1300" t="str">
        <f t="shared" si="82"/>
        <v>Feb-1996</v>
      </c>
      <c r="F1300" s="12">
        <f t="shared" si="83"/>
        <v>6.36</v>
      </c>
    </row>
    <row r="1301" spans="1:6" x14ac:dyDescent="0.25">
      <c r="A1301" s="1">
        <v>35118</v>
      </c>
      <c r="B1301">
        <v>7.32</v>
      </c>
      <c r="C1301" s="11">
        <f t="shared" si="80"/>
        <v>7.3200000000000001E-2</v>
      </c>
      <c r="D1301">
        <f t="shared" si="81"/>
        <v>1996</v>
      </c>
      <c r="E1301" t="str">
        <f t="shared" si="82"/>
        <v>Feb-1996</v>
      </c>
      <c r="F1301" s="12">
        <f t="shared" si="83"/>
        <v>6.36</v>
      </c>
    </row>
    <row r="1302" spans="1:6" x14ac:dyDescent="0.25">
      <c r="A1302" s="1">
        <v>35125</v>
      </c>
      <c r="B1302">
        <v>7.41</v>
      </c>
      <c r="C1302" s="11">
        <f t="shared" si="80"/>
        <v>7.4099999999999999E-2</v>
      </c>
      <c r="D1302">
        <f t="shared" si="81"/>
        <v>1996</v>
      </c>
      <c r="E1302" t="str">
        <f t="shared" si="82"/>
        <v>Mar-1996</v>
      </c>
      <c r="F1302" s="12">
        <f t="shared" si="83"/>
        <v>6.36</v>
      </c>
    </row>
    <row r="1303" spans="1:6" x14ac:dyDescent="0.25">
      <c r="A1303" s="1">
        <v>35132</v>
      </c>
      <c r="B1303">
        <v>7.38</v>
      </c>
      <c r="C1303" s="11">
        <f t="shared" si="80"/>
        <v>7.3800000000000004E-2</v>
      </c>
      <c r="D1303">
        <f t="shared" si="81"/>
        <v>1996</v>
      </c>
      <c r="E1303" t="str">
        <f t="shared" si="82"/>
        <v>Mar-1996</v>
      </c>
      <c r="F1303" s="12">
        <f t="shared" si="83"/>
        <v>6.36</v>
      </c>
    </row>
    <row r="1304" spans="1:6" x14ac:dyDescent="0.25">
      <c r="A1304" s="1">
        <v>35139</v>
      </c>
      <c r="B1304">
        <v>7.83</v>
      </c>
      <c r="C1304" s="11">
        <f t="shared" si="80"/>
        <v>7.8299999999999995E-2</v>
      </c>
      <c r="D1304">
        <f t="shared" si="81"/>
        <v>1996</v>
      </c>
      <c r="E1304" t="str">
        <f t="shared" si="82"/>
        <v>Mar-1996</v>
      </c>
      <c r="F1304" s="12">
        <f t="shared" si="83"/>
        <v>6.36</v>
      </c>
    </row>
    <row r="1305" spans="1:6" x14ac:dyDescent="0.25">
      <c r="A1305" s="1">
        <v>35146</v>
      </c>
      <c r="B1305">
        <v>7.81</v>
      </c>
      <c r="C1305" s="11">
        <f t="shared" si="80"/>
        <v>7.8100000000000003E-2</v>
      </c>
      <c r="D1305">
        <f t="shared" si="81"/>
        <v>1996</v>
      </c>
      <c r="E1305" t="str">
        <f t="shared" si="82"/>
        <v>Mar-1996</v>
      </c>
      <c r="F1305" s="12">
        <f t="shared" si="83"/>
        <v>6.36</v>
      </c>
    </row>
    <row r="1306" spans="1:6" x14ac:dyDescent="0.25">
      <c r="A1306" s="1">
        <v>35153</v>
      </c>
      <c r="B1306">
        <v>7.69</v>
      </c>
      <c r="C1306" s="11">
        <f t="shared" si="80"/>
        <v>7.690000000000001E-2</v>
      </c>
      <c r="D1306">
        <f t="shared" si="81"/>
        <v>1996</v>
      </c>
      <c r="E1306" t="str">
        <f t="shared" si="82"/>
        <v>Mar-1996</v>
      </c>
      <c r="F1306" s="12">
        <f t="shared" si="83"/>
        <v>6.36</v>
      </c>
    </row>
    <row r="1307" spans="1:6" x14ac:dyDescent="0.25">
      <c r="A1307" s="1">
        <v>35160</v>
      </c>
      <c r="B1307">
        <v>7.78</v>
      </c>
      <c r="C1307" s="11">
        <f t="shared" si="80"/>
        <v>7.7800000000000008E-2</v>
      </c>
      <c r="D1307">
        <f t="shared" si="81"/>
        <v>1996</v>
      </c>
      <c r="E1307" t="str">
        <f t="shared" si="82"/>
        <v>Apr-1996</v>
      </c>
      <c r="F1307" s="12">
        <f t="shared" si="83"/>
        <v>6.36</v>
      </c>
    </row>
    <row r="1308" spans="1:6" x14ac:dyDescent="0.25">
      <c r="A1308" s="1">
        <v>35167</v>
      </c>
      <c r="B1308">
        <v>8.0500000000000007</v>
      </c>
      <c r="C1308" s="11">
        <f t="shared" si="80"/>
        <v>8.0500000000000002E-2</v>
      </c>
      <c r="D1308">
        <f t="shared" si="81"/>
        <v>1996</v>
      </c>
      <c r="E1308" t="str">
        <f t="shared" si="82"/>
        <v>Apr-1996</v>
      </c>
      <c r="F1308" s="12">
        <f t="shared" si="83"/>
        <v>6.36</v>
      </c>
    </row>
    <row r="1309" spans="1:6" x14ac:dyDescent="0.25">
      <c r="A1309" s="1">
        <v>35174</v>
      </c>
      <c r="B1309">
        <v>7.95</v>
      </c>
      <c r="C1309" s="11">
        <f t="shared" si="80"/>
        <v>7.9500000000000001E-2</v>
      </c>
      <c r="D1309">
        <f t="shared" si="81"/>
        <v>1996</v>
      </c>
      <c r="E1309" t="str">
        <f t="shared" si="82"/>
        <v>Apr-1996</v>
      </c>
      <c r="F1309" s="12">
        <f t="shared" si="83"/>
        <v>6.36</v>
      </c>
    </row>
    <row r="1310" spans="1:6" x14ac:dyDescent="0.25">
      <c r="A1310" s="1">
        <v>35181</v>
      </c>
      <c r="B1310">
        <v>7.92</v>
      </c>
      <c r="C1310" s="11">
        <f t="shared" si="80"/>
        <v>7.9199999999999993E-2</v>
      </c>
      <c r="D1310">
        <f t="shared" si="81"/>
        <v>1996</v>
      </c>
      <c r="E1310" t="str">
        <f t="shared" si="82"/>
        <v>Apr-1996</v>
      </c>
      <c r="F1310" s="12">
        <f t="shared" si="83"/>
        <v>6.36</v>
      </c>
    </row>
    <row r="1311" spans="1:6" x14ac:dyDescent="0.25">
      <c r="A1311" s="1">
        <v>35188</v>
      </c>
      <c r="B1311">
        <v>7.99</v>
      </c>
      <c r="C1311" s="11">
        <f t="shared" si="80"/>
        <v>7.9899999999999999E-2</v>
      </c>
      <c r="D1311">
        <f t="shared" si="81"/>
        <v>1996</v>
      </c>
      <c r="E1311" t="str">
        <f t="shared" si="82"/>
        <v>May-1996</v>
      </c>
      <c r="F1311" s="12">
        <f t="shared" si="83"/>
        <v>6.36</v>
      </c>
    </row>
    <row r="1312" spans="1:6" x14ac:dyDescent="0.25">
      <c r="A1312" s="1">
        <v>35195</v>
      </c>
      <c r="B1312">
        <v>8.24</v>
      </c>
      <c r="C1312" s="11">
        <f t="shared" si="80"/>
        <v>8.2400000000000001E-2</v>
      </c>
      <c r="D1312">
        <f t="shared" si="81"/>
        <v>1996</v>
      </c>
      <c r="E1312" t="str">
        <f t="shared" si="82"/>
        <v>May-1996</v>
      </c>
      <c r="F1312" s="12">
        <f t="shared" si="83"/>
        <v>6.36</v>
      </c>
    </row>
    <row r="1313" spans="1:6" x14ac:dyDescent="0.25">
      <c r="A1313" s="1">
        <v>35202</v>
      </c>
      <c r="B1313">
        <v>8.08</v>
      </c>
      <c r="C1313" s="11">
        <f t="shared" si="80"/>
        <v>8.0799999999999997E-2</v>
      </c>
      <c r="D1313">
        <f t="shared" si="81"/>
        <v>1996</v>
      </c>
      <c r="E1313" t="str">
        <f t="shared" si="82"/>
        <v>May-1996</v>
      </c>
      <c r="F1313" s="12">
        <f t="shared" si="83"/>
        <v>6.36</v>
      </c>
    </row>
    <row r="1314" spans="1:6" x14ac:dyDescent="0.25">
      <c r="A1314" s="1">
        <v>35209</v>
      </c>
      <c r="B1314">
        <v>8.01</v>
      </c>
      <c r="C1314" s="11">
        <f t="shared" si="80"/>
        <v>8.0100000000000005E-2</v>
      </c>
      <c r="D1314">
        <f t="shared" si="81"/>
        <v>1996</v>
      </c>
      <c r="E1314" t="str">
        <f t="shared" si="82"/>
        <v>May-1996</v>
      </c>
      <c r="F1314" s="12">
        <f t="shared" si="83"/>
        <v>6.36</v>
      </c>
    </row>
    <row r="1315" spans="1:6" x14ac:dyDescent="0.25">
      <c r="A1315" s="1">
        <v>35216</v>
      </c>
      <c r="B1315">
        <v>8.0299999999999994</v>
      </c>
      <c r="C1315" s="11">
        <f t="shared" si="80"/>
        <v>8.0299999999999996E-2</v>
      </c>
      <c r="D1315">
        <f t="shared" si="81"/>
        <v>1996</v>
      </c>
      <c r="E1315" t="str">
        <f t="shared" si="82"/>
        <v>May-1996</v>
      </c>
      <c r="F1315" s="12">
        <f t="shared" si="83"/>
        <v>6.36</v>
      </c>
    </row>
    <row r="1316" spans="1:6" x14ac:dyDescent="0.25">
      <c r="A1316" s="1">
        <v>35223</v>
      </c>
      <c r="B1316">
        <v>8.3000000000000007</v>
      </c>
      <c r="C1316" s="11">
        <f t="shared" si="80"/>
        <v>8.3000000000000004E-2</v>
      </c>
      <c r="D1316">
        <f t="shared" si="81"/>
        <v>1996</v>
      </c>
      <c r="E1316" t="str">
        <f t="shared" si="82"/>
        <v>Jun-1996</v>
      </c>
      <c r="F1316" s="12">
        <f t="shared" si="83"/>
        <v>6.36</v>
      </c>
    </row>
    <row r="1317" spans="1:6" x14ac:dyDescent="0.25">
      <c r="A1317" s="1">
        <v>35230</v>
      </c>
      <c r="B1317">
        <v>8.39</v>
      </c>
      <c r="C1317" s="11">
        <f t="shared" si="80"/>
        <v>8.3900000000000002E-2</v>
      </c>
      <c r="D1317">
        <f t="shared" si="81"/>
        <v>1996</v>
      </c>
      <c r="E1317" t="str">
        <f t="shared" si="82"/>
        <v>Jun-1996</v>
      </c>
      <c r="F1317" s="12">
        <f t="shared" si="83"/>
        <v>6.36</v>
      </c>
    </row>
    <row r="1318" spans="1:6" x14ac:dyDescent="0.25">
      <c r="A1318" s="1">
        <v>35237</v>
      </c>
      <c r="B1318">
        <v>8.3000000000000007</v>
      </c>
      <c r="C1318" s="11">
        <f t="shared" si="80"/>
        <v>8.3000000000000004E-2</v>
      </c>
      <c r="D1318">
        <f t="shared" si="81"/>
        <v>1996</v>
      </c>
      <c r="E1318" t="str">
        <f t="shared" si="82"/>
        <v>Jun-1996</v>
      </c>
      <c r="F1318" s="12">
        <f t="shared" si="83"/>
        <v>6.36</v>
      </c>
    </row>
    <row r="1319" spans="1:6" x14ac:dyDescent="0.25">
      <c r="A1319" s="1">
        <v>35244</v>
      </c>
      <c r="B1319">
        <v>8.2899999999999991</v>
      </c>
      <c r="C1319" s="11">
        <f t="shared" si="80"/>
        <v>8.2899999999999988E-2</v>
      </c>
      <c r="D1319">
        <f t="shared" si="81"/>
        <v>1996</v>
      </c>
      <c r="E1319" t="str">
        <f t="shared" si="82"/>
        <v>Jun-1996</v>
      </c>
      <c r="F1319" s="12">
        <f t="shared" si="83"/>
        <v>6.36</v>
      </c>
    </row>
    <row r="1320" spans="1:6" x14ac:dyDescent="0.25">
      <c r="A1320" s="1">
        <v>35251</v>
      </c>
      <c r="B1320">
        <v>8.14</v>
      </c>
      <c r="C1320" s="11">
        <f t="shared" si="80"/>
        <v>8.14E-2</v>
      </c>
      <c r="D1320">
        <f t="shared" si="81"/>
        <v>1996</v>
      </c>
      <c r="E1320" t="str">
        <f t="shared" si="82"/>
        <v>Jul-1996</v>
      </c>
      <c r="F1320" s="12">
        <f t="shared" si="83"/>
        <v>6.36</v>
      </c>
    </row>
    <row r="1321" spans="1:6" x14ac:dyDescent="0.25">
      <c r="A1321" s="1">
        <v>35258</v>
      </c>
      <c r="B1321">
        <v>8.42</v>
      </c>
      <c r="C1321" s="11">
        <f t="shared" si="80"/>
        <v>8.4199999999999997E-2</v>
      </c>
      <c r="D1321">
        <f t="shared" si="81"/>
        <v>1996</v>
      </c>
      <c r="E1321" t="str">
        <f t="shared" si="82"/>
        <v>Jul-1996</v>
      </c>
      <c r="F1321" s="12">
        <f t="shared" si="83"/>
        <v>6.36</v>
      </c>
    </row>
    <row r="1322" spans="1:6" x14ac:dyDescent="0.25">
      <c r="A1322" s="1">
        <v>35265</v>
      </c>
      <c r="B1322">
        <v>8.23</v>
      </c>
      <c r="C1322" s="11">
        <f t="shared" si="80"/>
        <v>8.2299999999999998E-2</v>
      </c>
      <c r="D1322">
        <f t="shared" si="81"/>
        <v>1996</v>
      </c>
      <c r="E1322" t="str">
        <f t="shared" si="82"/>
        <v>Jul-1996</v>
      </c>
      <c r="F1322" s="12">
        <f t="shared" si="83"/>
        <v>6.36</v>
      </c>
    </row>
    <row r="1323" spans="1:6" x14ac:dyDescent="0.25">
      <c r="A1323" s="1">
        <v>35272</v>
      </c>
      <c r="B1323">
        <v>8.19</v>
      </c>
      <c r="C1323" s="11">
        <f t="shared" si="80"/>
        <v>8.1900000000000001E-2</v>
      </c>
      <c r="D1323">
        <f t="shared" si="81"/>
        <v>1996</v>
      </c>
      <c r="E1323" t="str">
        <f t="shared" si="82"/>
        <v>Jul-1996</v>
      </c>
      <c r="F1323" s="12">
        <f t="shared" si="83"/>
        <v>6.36</v>
      </c>
    </row>
    <row r="1324" spans="1:6" x14ac:dyDescent="0.25">
      <c r="A1324" s="1">
        <v>35279</v>
      </c>
      <c r="B1324">
        <v>8.23</v>
      </c>
      <c r="C1324" s="11">
        <f t="shared" si="80"/>
        <v>8.2299999999999998E-2</v>
      </c>
      <c r="D1324">
        <f t="shared" si="81"/>
        <v>1996</v>
      </c>
      <c r="E1324" t="str">
        <f t="shared" si="82"/>
        <v>Aug-1996</v>
      </c>
      <c r="F1324" s="12">
        <f t="shared" si="83"/>
        <v>6.36</v>
      </c>
    </row>
    <row r="1325" spans="1:6" x14ac:dyDescent="0.25">
      <c r="A1325" s="1">
        <v>35286</v>
      </c>
      <c r="B1325">
        <v>7.88</v>
      </c>
      <c r="C1325" s="11">
        <f t="shared" si="80"/>
        <v>7.8799999999999995E-2</v>
      </c>
      <c r="D1325">
        <f t="shared" si="81"/>
        <v>1996</v>
      </c>
      <c r="E1325" t="str">
        <f t="shared" si="82"/>
        <v>Aug-1996</v>
      </c>
      <c r="F1325" s="12">
        <f t="shared" si="83"/>
        <v>6.36</v>
      </c>
    </row>
    <row r="1326" spans="1:6" x14ac:dyDescent="0.25">
      <c r="A1326" s="1">
        <v>35293</v>
      </c>
      <c r="B1326">
        <v>7.88</v>
      </c>
      <c r="C1326" s="11">
        <f t="shared" si="80"/>
        <v>7.8799999999999995E-2</v>
      </c>
      <c r="D1326">
        <f t="shared" si="81"/>
        <v>1996</v>
      </c>
      <c r="E1326" t="str">
        <f t="shared" si="82"/>
        <v>Aug-1996</v>
      </c>
      <c r="F1326" s="12">
        <f t="shared" si="83"/>
        <v>6.36</v>
      </c>
    </row>
    <row r="1327" spans="1:6" x14ac:dyDescent="0.25">
      <c r="A1327" s="1">
        <v>35300</v>
      </c>
      <c r="B1327">
        <v>7.93</v>
      </c>
      <c r="C1327" s="11">
        <f t="shared" si="80"/>
        <v>7.9299999999999995E-2</v>
      </c>
      <c r="D1327">
        <f t="shared" si="81"/>
        <v>1996</v>
      </c>
      <c r="E1327" t="str">
        <f t="shared" si="82"/>
        <v>Aug-1996</v>
      </c>
      <c r="F1327" s="12">
        <f t="shared" si="83"/>
        <v>6.36</v>
      </c>
    </row>
    <row r="1328" spans="1:6" x14ac:dyDescent="0.25">
      <c r="A1328" s="1">
        <v>35307</v>
      </c>
      <c r="B1328">
        <v>8.09</v>
      </c>
      <c r="C1328" s="11">
        <f t="shared" si="80"/>
        <v>8.09E-2</v>
      </c>
      <c r="D1328">
        <f t="shared" si="81"/>
        <v>1996</v>
      </c>
      <c r="E1328" t="str">
        <f t="shared" si="82"/>
        <v>Aug-1996</v>
      </c>
      <c r="F1328" s="12">
        <f t="shared" si="83"/>
        <v>6.36</v>
      </c>
    </row>
    <row r="1329" spans="1:6" x14ac:dyDescent="0.25">
      <c r="A1329" s="1">
        <v>35314</v>
      </c>
      <c r="B1329">
        <v>8.34</v>
      </c>
      <c r="C1329" s="11">
        <f t="shared" si="80"/>
        <v>8.3400000000000002E-2</v>
      </c>
      <c r="D1329">
        <f t="shared" si="81"/>
        <v>1996</v>
      </c>
      <c r="E1329" t="str">
        <f t="shared" si="82"/>
        <v>Sep-1996</v>
      </c>
      <c r="F1329" s="12">
        <f t="shared" si="83"/>
        <v>6.36</v>
      </c>
    </row>
    <row r="1330" spans="1:6" x14ac:dyDescent="0.25">
      <c r="A1330" s="1">
        <v>35321</v>
      </c>
      <c r="B1330">
        <v>8.2799999999999994</v>
      </c>
      <c r="C1330" s="11">
        <f t="shared" si="80"/>
        <v>8.2799999999999999E-2</v>
      </c>
      <c r="D1330">
        <f t="shared" si="81"/>
        <v>1996</v>
      </c>
      <c r="E1330" t="str">
        <f t="shared" si="82"/>
        <v>Sep-1996</v>
      </c>
      <c r="F1330" s="12">
        <f t="shared" si="83"/>
        <v>6.36</v>
      </c>
    </row>
    <row r="1331" spans="1:6" x14ac:dyDescent="0.25">
      <c r="A1331" s="1">
        <v>35328</v>
      </c>
      <c r="B1331">
        <v>8.14</v>
      </c>
      <c r="C1331" s="11">
        <f t="shared" si="80"/>
        <v>8.14E-2</v>
      </c>
      <c r="D1331">
        <f t="shared" si="81"/>
        <v>1996</v>
      </c>
      <c r="E1331" t="str">
        <f t="shared" si="82"/>
        <v>Sep-1996</v>
      </c>
      <c r="F1331" s="12">
        <f t="shared" si="83"/>
        <v>6.36</v>
      </c>
    </row>
    <row r="1332" spans="1:6" x14ac:dyDescent="0.25">
      <c r="A1332" s="1">
        <v>35335</v>
      </c>
      <c r="B1332">
        <v>8.16</v>
      </c>
      <c r="C1332" s="11">
        <f t="shared" si="80"/>
        <v>8.1600000000000006E-2</v>
      </c>
      <c r="D1332">
        <f t="shared" si="81"/>
        <v>1996</v>
      </c>
      <c r="E1332" t="str">
        <f t="shared" si="82"/>
        <v>Sep-1996</v>
      </c>
      <c r="F1332" s="12">
        <f t="shared" si="83"/>
        <v>6.36</v>
      </c>
    </row>
    <row r="1333" spans="1:6" x14ac:dyDescent="0.25">
      <c r="A1333" s="1">
        <v>35342</v>
      </c>
      <c r="B1333">
        <v>8.06</v>
      </c>
      <c r="C1333" s="11">
        <f t="shared" si="80"/>
        <v>8.0600000000000005E-2</v>
      </c>
      <c r="D1333">
        <f t="shared" si="81"/>
        <v>1996</v>
      </c>
      <c r="E1333" t="str">
        <f t="shared" si="82"/>
        <v>Oct-1996</v>
      </c>
      <c r="F1333" s="12">
        <f t="shared" si="83"/>
        <v>6.36</v>
      </c>
    </row>
    <row r="1334" spans="1:6" x14ac:dyDescent="0.25">
      <c r="A1334" s="1">
        <v>35349</v>
      </c>
      <c r="B1334">
        <v>7.86</v>
      </c>
      <c r="C1334" s="11">
        <f t="shared" si="80"/>
        <v>7.8600000000000003E-2</v>
      </c>
      <c r="D1334">
        <f t="shared" si="81"/>
        <v>1996</v>
      </c>
      <c r="E1334" t="str">
        <f t="shared" si="82"/>
        <v>Oct-1996</v>
      </c>
      <c r="F1334" s="12">
        <f t="shared" si="83"/>
        <v>6.36</v>
      </c>
    </row>
    <row r="1335" spans="1:6" x14ac:dyDescent="0.25">
      <c r="A1335" s="1">
        <v>35356</v>
      </c>
      <c r="B1335">
        <v>7.88</v>
      </c>
      <c r="C1335" s="11">
        <f t="shared" si="80"/>
        <v>7.8799999999999995E-2</v>
      </c>
      <c r="D1335">
        <f t="shared" si="81"/>
        <v>1996</v>
      </c>
      <c r="E1335" t="str">
        <f t="shared" si="82"/>
        <v>Oct-1996</v>
      </c>
      <c r="F1335" s="12">
        <f t="shared" si="83"/>
        <v>6.36</v>
      </c>
    </row>
    <row r="1336" spans="1:6" x14ac:dyDescent="0.25">
      <c r="A1336" s="1">
        <v>35363</v>
      </c>
      <c r="B1336">
        <v>7.86</v>
      </c>
      <c r="C1336" s="11">
        <f t="shared" si="80"/>
        <v>7.8600000000000003E-2</v>
      </c>
      <c r="D1336">
        <f t="shared" si="81"/>
        <v>1996</v>
      </c>
      <c r="E1336" t="str">
        <f t="shared" si="82"/>
        <v>Oct-1996</v>
      </c>
      <c r="F1336" s="12">
        <f t="shared" si="83"/>
        <v>6.36</v>
      </c>
    </row>
    <row r="1337" spans="1:6" x14ac:dyDescent="0.25">
      <c r="A1337" s="1">
        <v>35370</v>
      </c>
      <c r="B1337">
        <v>7.78</v>
      </c>
      <c r="C1337" s="11">
        <f t="shared" si="80"/>
        <v>7.7800000000000008E-2</v>
      </c>
      <c r="D1337">
        <f t="shared" si="81"/>
        <v>1996</v>
      </c>
      <c r="E1337" t="str">
        <f t="shared" si="82"/>
        <v>Nov-1996</v>
      </c>
      <c r="F1337" s="12">
        <f t="shared" si="83"/>
        <v>6.36</v>
      </c>
    </row>
    <row r="1338" spans="1:6" x14ac:dyDescent="0.25">
      <c r="A1338" s="1">
        <v>35377</v>
      </c>
      <c r="B1338">
        <v>7.67</v>
      </c>
      <c r="C1338" s="11">
        <f t="shared" si="80"/>
        <v>7.6700000000000004E-2</v>
      </c>
      <c r="D1338">
        <f t="shared" si="81"/>
        <v>1996</v>
      </c>
      <c r="E1338" t="str">
        <f t="shared" si="82"/>
        <v>Nov-1996</v>
      </c>
      <c r="F1338" s="12">
        <f t="shared" si="83"/>
        <v>6.36</v>
      </c>
    </row>
    <row r="1339" spans="1:6" x14ac:dyDescent="0.25">
      <c r="A1339" s="1">
        <v>35384</v>
      </c>
      <c r="B1339">
        <v>7.59</v>
      </c>
      <c r="C1339" s="11">
        <f t="shared" si="80"/>
        <v>7.5899999999999995E-2</v>
      </c>
      <c r="D1339">
        <f t="shared" si="81"/>
        <v>1996</v>
      </c>
      <c r="E1339" t="str">
        <f t="shared" si="82"/>
        <v>Nov-1996</v>
      </c>
      <c r="F1339" s="12">
        <f t="shared" si="83"/>
        <v>6.36</v>
      </c>
    </row>
    <row r="1340" spans="1:6" x14ac:dyDescent="0.25">
      <c r="A1340" s="1">
        <v>35391</v>
      </c>
      <c r="B1340">
        <v>7.53</v>
      </c>
      <c r="C1340" s="11">
        <f t="shared" si="80"/>
        <v>7.5300000000000006E-2</v>
      </c>
      <c r="D1340">
        <f t="shared" si="81"/>
        <v>1996</v>
      </c>
      <c r="E1340" t="str">
        <f t="shared" si="82"/>
        <v>Nov-1996</v>
      </c>
      <c r="F1340" s="12">
        <f t="shared" si="83"/>
        <v>6.36</v>
      </c>
    </row>
    <row r="1341" spans="1:6" x14ac:dyDescent="0.25">
      <c r="A1341" s="1">
        <v>35398</v>
      </c>
      <c r="B1341">
        <v>7.52</v>
      </c>
      <c r="C1341" s="11">
        <f t="shared" si="80"/>
        <v>7.5199999999999989E-2</v>
      </c>
      <c r="D1341">
        <f t="shared" si="81"/>
        <v>1996</v>
      </c>
      <c r="E1341" t="str">
        <f t="shared" si="82"/>
        <v>Nov-1996</v>
      </c>
      <c r="F1341" s="12">
        <f t="shared" si="83"/>
        <v>6.36</v>
      </c>
    </row>
    <row r="1342" spans="1:6" x14ac:dyDescent="0.25">
      <c r="A1342" s="1">
        <v>35405</v>
      </c>
      <c r="B1342">
        <v>7.44</v>
      </c>
      <c r="C1342" s="11">
        <f t="shared" si="80"/>
        <v>7.4400000000000008E-2</v>
      </c>
      <c r="D1342">
        <f t="shared" si="81"/>
        <v>1996</v>
      </c>
      <c r="E1342" t="str">
        <f t="shared" si="82"/>
        <v>Dec-1996</v>
      </c>
      <c r="F1342" s="12">
        <f t="shared" si="83"/>
        <v>6.36</v>
      </c>
    </row>
    <row r="1343" spans="1:6" x14ac:dyDescent="0.25">
      <c r="A1343" s="1">
        <v>35412</v>
      </c>
      <c r="B1343">
        <v>7.57</v>
      </c>
      <c r="C1343" s="11">
        <f t="shared" si="80"/>
        <v>7.5700000000000003E-2</v>
      </c>
      <c r="D1343">
        <f t="shared" si="81"/>
        <v>1996</v>
      </c>
      <c r="E1343" t="str">
        <f t="shared" si="82"/>
        <v>Dec-1996</v>
      </c>
      <c r="F1343" s="12">
        <f t="shared" si="83"/>
        <v>6.36</v>
      </c>
    </row>
    <row r="1344" spans="1:6" x14ac:dyDescent="0.25">
      <c r="A1344" s="1">
        <v>35419</v>
      </c>
      <c r="B1344">
        <v>7.74</v>
      </c>
      <c r="C1344" s="11">
        <f t="shared" si="80"/>
        <v>7.7399999999999997E-2</v>
      </c>
      <c r="D1344">
        <f t="shared" si="81"/>
        <v>1996</v>
      </c>
      <c r="E1344" t="str">
        <f t="shared" si="82"/>
        <v>Dec-1996</v>
      </c>
      <c r="F1344" s="12">
        <f t="shared" si="83"/>
        <v>6.36</v>
      </c>
    </row>
    <row r="1345" spans="1:6" x14ac:dyDescent="0.25">
      <c r="A1345" s="1">
        <v>35426</v>
      </c>
      <c r="B1345">
        <v>7.64</v>
      </c>
      <c r="C1345" s="11">
        <f t="shared" si="80"/>
        <v>7.6399999999999996E-2</v>
      </c>
      <c r="D1345">
        <f t="shared" si="81"/>
        <v>1996</v>
      </c>
      <c r="E1345" t="str">
        <f t="shared" si="82"/>
        <v>Dec-1996</v>
      </c>
      <c r="F1345" s="12">
        <f t="shared" si="83"/>
        <v>6.36</v>
      </c>
    </row>
    <row r="1346" spans="1:6" x14ac:dyDescent="0.25">
      <c r="A1346" s="1">
        <v>35433</v>
      </c>
      <c r="B1346">
        <v>7.67</v>
      </c>
      <c r="C1346" s="11">
        <f t="shared" ref="C1346:C1409" si="84">B1346/100</f>
        <v>7.6700000000000004E-2</v>
      </c>
      <c r="D1346">
        <f t="shared" ref="D1346:D1409" si="85">YEAR(A1346)</f>
        <v>1997</v>
      </c>
      <c r="E1346" t="str">
        <f t="shared" ref="E1346:E1409" si="86">TEXT(A1346,"MMM-YYYY")</f>
        <v>Jan-1997</v>
      </c>
      <c r="F1346" s="12">
        <f t="shared" ref="F1346:F1409" si="87">$H$2</f>
        <v>6.36</v>
      </c>
    </row>
    <row r="1347" spans="1:6" x14ac:dyDescent="0.25">
      <c r="A1347" s="1">
        <v>35440</v>
      </c>
      <c r="B1347">
        <v>7.85</v>
      </c>
      <c r="C1347" s="11">
        <f t="shared" si="84"/>
        <v>7.85E-2</v>
      </c>
      <c r="D1347">
        <f t="shared" si="85"/>
        <v>1997</v>
      </c>
      <c r="E1347" t="str">
        <f t="shared" si="86"/>
        <v>Jan-1997</v>
      </c>
      <c r="F1347" s="12">
        <f t="shared" si="87"/>
        <v>6.36</v>
      </c>
    </row>
    <row r="1348" spans="1:6" x14ac:dyDescent="0.25">
      <c r="A1348" s="1">
        <v>35447</v>
      </c>
      <c r="B1348">
        <v>7.87</v>
      </c>
      <c r="C1348" s="11">
        <f t="shared" si="84"/>
        <v>7.8700000000000006E-2</v>
      </c>
      <c r="D1348">
        <f t="shared" si="85"/>
        <v>1997</v>
      </c>
      <c r="E1348" t="str">
        <f t="shared" si="86"/>
        <v>Jan-1997</v>
      </c>
      <c r="F1348" s="12">
        <f t="shared" si="87"/>
        <v>6.36</v>
      </c>
    </row>
    <row r="1349" spans="1:6" x14ac:dyDescent="0.25">
      <c r="A1349" s="1">
        <v>35454</v>
      </c>
      <c r="B1349">
        <v>7.85</v>
      </c>
      <c r="C1349" s="11">
        <f t="shared" si="84"/>
        <v>7.85E-2</v>
      </c>
      <c r="D1349">
        <f t="shared" si="85"/>
        <v>1997</v>
      </c>
      <c r="E1349" t="str">
        <f t="shared" si="86"/>
        <v>Jan-1997</v>
      </c>
      <c r="F1349" s="12">
        <f t="shared" si="87"/>
        <v>6.36</v>
      </c>
    </row>
    <row r="1350" spans="1:6" x14ac:dyDescent="0.25">
      <c r="A1350" s="1">
        <v>35461</v>
      </c>
      <c r="B1350">
        <v>7.88</v>
      </c>
      <c r="C1350" s="11">
        <f t="shared" si="84"/>
        <v>7.8799999999999995E-2</v>
      </c>
      <c r="D1350">
        <f t="shared" si="85"/>
        <v>1997</v>
      </c>
      <c r="E1350" t="str">
        <f t="shared" si="86"/>
        <v>Jan-1997</v>
      </c>
      <c r="F1350" s="12">
        <f t="shared" si="87"/>
        <v>6.36</v>
      </c>
    </row>
    <row r="1351" spans="1:6" x14ac:dyDescent="0.25">
      <c r="A1351" s="1">
        <v>35468</v>
      </c>
      <c r="B1351">
        <v>7.74</v>
      </c>
      <c r="C1351" s="11">
        <f t="shared" si="84"/>
        <v>7.7399999999999997E-2</v>
      </c>
      <c r="D1351">
        <f t="shared" si="85"/>
        <v>1997</v>
      </c>
      <c r="E1351" t="str">
        <f t="shared" si="86"/>
        <v>Feb-1997</v>
      </c>
      <c r="F1351" s="12">
        <f t="shared" si="87"/>
        <v>6.36</v>
      </c>
    </row>
    <row r="1352" spans="1:6" x14ac:dyDescent="0.25">
      <c r="A1352" s="1">
        <v>35475</v>
      </c>
      <c r="B1352">
        <v>7.65</v>
      </c>
      <c r="C1352" s="11">
        <f t="shared" si="84"/>
        <v>7.6499999999999999E-2</v>
      </c>
      <c r="D1352">
        <f t="shared" si="85"/>
        <v>1997</v>
      </c>
      <c r="E1352" t="str">
        <f t="shared" si="86"/>
        <v>Feb-1997</v>
      </c>
      <c r="F1352" s="12">
        <f t="shared" si="87"/>
        <v>6.36</v>
      </c>
    </row>
    <row r="1353" spans="1:6" x14ac:dyDescent="0.25">
      <c r="A1353" s="1">
        <v>35482</v>
      </c>
      <c r="B1353">
        <v>7.56</v>
      </c>
      <c r="C1353" s="11">
        <f t="shared" si="84"/>
        <v>7.5600000000000001E-2</v>
      </c>
      <c r="D1353">
        <f t="shared" si="85"/>
        <v>1997</v>
      </c>
      <c r="E1353" t="str">
        <f t="shared" si="86"/>
        <v>Feb-1997</v>
      </c>
      <c r="F1353" s="12">
        <f t="shared" si="87"/>
        <v>6.36</v>
      </c>
    </row>
    <row r="1354" spans="1:6" x14ac:dyDescent="0.25">
      <c r="A1354" s="1">
        <v>35489</v>
      </c>
      <c r="B1354">
        <v>7.65</v>
      </c>
      <c r="C1354" s="11">
        <f t="shared" si="84"/>
        <v>7.6499999999999999E-2</v>
      </c>
      <c r="D1354">
        <f t="shared" si="85"/>
        <v>1997</v>
      </c>
      <c r="E1354" t="str">
        <f t="shared" si="86"/>
        <v>Feb-1997</v>
      </c>
      <c r="F1354" s="12">
        <f t="shared" si="87"/>
        <v>6.36</v>
      </c>
    </row>
    <row r="1355" spans="1:6" x14ac:dyDescent="0.25">
      <c r="A1355" s="1">
        <v>35496</v>
      </c>
      <c r="B1355">
        <v>7.84</v>
      </c>
      <c r="C1355" s="11">
        <f t="shared" si="84"/>
        <v>7.8399999999999997E-2</v>
      </c>
      <c r="D1355">
        <f t="shared" si="85"/>
        <v>1997</v>
      </c>
      <c r="E1355" t="str">
        <f t="shared" si="86"/>
        <v>Mar-1997</v>
      </c>
      <c r="F1355" s="12">
        <f t="shared" si="87"/>
        <v>6.36</v>
      </c>
    </row>
    <row r="1356" spans="1:6" x14ac:dyDescent="0.25">
      <c r="A1356" s="1">
        <v>35503</v>
      </c>
      <c r="B1356">
        <v>7.84</v>
      </c>
      <c r="C1356" s="11">
        <f t="shared" si="84"/>
        <v>7.8399999999999997E-2</v>
      </c>
      <c r="D1356">
        <f t="shared" si="85"/>
        <v>1997</v>
      </c>
      <c r="E1356" t="str">
        <f t="shared" si="86"/>
        <v>Mar-1997</v>
      </c>
      <c r="F1356" s="12">
        <f t="shared" si="87"/>
        <v>6.36</v>
      </c>
    </row>
    <row r="1357" spans="1:6" x14ac:dyDescent="0.25">
      <c r="A1357" s="1">
        <v>35510</v>
      </c>
      <c r="B1357">
        <v>7.94</v>
      </c>
      <c r="C1357" s="11">
        <f t="shared" si="84"/>
        <v>7.9399999999999998E-2</v>
      </c>
      <c r="D1357">
        <f t="shared" si="85"/>
        <v>1997</v>
      </c>
      <c r="E1357" t="str">
        <f t="shared" si="86"/>
        <v>Mar-1997</v>
      </c>
      <c r="F1357" s="12">
        <f t="shared" si="87"/>
        <v>6.36</v>
      </c>
    </row>
    <row r="1358" spans="1:6" x14ac:dyDescent="0.25">
      <c r="A1358" s="1">
        <v>35517</v>
      </c>
      <c r="B1358">
        <v>7.97</v>
      </c>
      <c r="C1358" s="11">
        <f t="shared" si="84"/>
        <v>7.9699999999999993E-2</v>
      </c>
      <c r="D1358">
        <f t="shared" si="85"/>
        <v>1997</v>
      </c>
      <c r="E1358" t="str">
        <f t="shared" si="86"/>
        <v>Mar-1997</v>
      </c>
      <c r="F1358" s="12">
        <f t="shared" si="87"/>
        <v>6.36</v>
      </c>
    </row>
    <row r="1359" spans="1:6" x14ac:dyDescent="0.25">
      <c r="A1359" s="1">
        <v>35524</v>
      </c>
      <c r="B1359">
        <v>8.18</v>
      </c>
      <c r="C1359" s="11">
        <f t="shared" si="84"/>
        <v>8.1799999999999998E-2</v>
      </c>
      <c r="D1359">
        <f t="shared" si="85"/>
        <v>1997</v>
      </c>
      <c r="E1359" t="str">
        <f t="shared" si="86"/>
        <v>Apr-1997</v>
      </c>
      <c r="F1359" s="12">
        <f t="shared" si="87"/>
        <v>6.36</v>
      </c>
    </row>
    <row r="1360" spans="1:6" x14ac:dyDescent="0.25">
      <c r="A1360" s="1">
        <v>35531</v>
      </c>
      <c r="B1360">
        <v>8.15</v>
      </c>
      <c r="C1360" s="11">
        <f t="shared" si="84"/>
        <v>8.1500000000000003E-2</v>
      </c>
      <c r="D1360">
        <f t="shared" si="85"/>
        <v>1997</v>
      </c>
      <c r="E1360" t="str">
        <f t="shared" si="86"/>
        <v>Apr-1997</v>
      </c>
      <c r="F1360" s="12">
        <f t="shared" si="87"/>
        <v>6.36</v>
      </c>
    </row>
    <row r="1361" spans="1:6" x14ac:dyDescent="0.25">
      <c r="A1361" s="1">
        <v>35538</v>
      </c>
      <c r="B1361">
        <v>8.16</v>
      </c>
      <c r="C1361" s="11">
        <f t="shared" si="84"/>
        <v>8.1600000000000006E-2</v>
      </c>
      <c r="D1361">
        <f t="shared" si="85"/>
        <v>1997</v>
      </c>
      <c r="E1361" t="str">
        <f t="shared" si="86"/>
        <v>Apr-1997</v>
      </c>
      <c r="F1361" s="12">
        <f t="shared" si="87"/>
        <v>6.36</v>
      </c>
    </row>
    <row r="1362" spans="1:6" x14ac:dyDescent="0.25">
      <c r="A1362" s="1">
        <v>35545</v>
      </c>
      <c r="B1362">
        <v>8.08</v>
      </c>
      <c r="C1362" s="11">
        <f t="shared" si="84"/>
        <v>8.0799999999999997E-2</v>
      </c>
      <c r="D1362">
        <f t="shared" si="85"/>
        <v>1997</v>
      </c>
      <c r="E1362" t="str">
        <f t="shared" si="86"/>
        <v>Apr-1997</v>
      </c>
      <c r="F1362" s="12">
        <f t="shared" si="87"/>
        <v>6.36</v>
      </c>
    </row>
    <row r="1363" spans="1:6" x14ac:dyDescent="0.25">
      <c r="A1363" s="1">
        <v>35552</v>
      </c>
      <c r="B1363">
        <v>8.01</v>
      </c>
      <c r="C1363" s="11">
        <f t="shared" si="84"/>
        <v>8.0100000000000005E-2</v>
      </c>
      <c r="D1363">
        <f t="shared" si="85"/>
        <v>1997</v>
      </c>
      <c r="E1363" t="str">
        <f t="shared" si="86"/>
        <v>May-1997</v>
      </c>
      <c r="F1363" s="12">
        <f t="shared" si="87"/>
        <v>6.36</v>
      </c>
    </row>
    <row r="1364" spans="1:6" x14ac:dyDescent="0.25">
      <c r="A1364" s="1">
        <v>35559</v>
      </c>
      <c r="B1364">
        <v>7.94</v>
      </c>
      <c r="C1364" s="11">
        <f t="shared" si="84"/>
        <v>7.9399999999999998E-2</v>
      </c>
      <c r="D1364">
        <f t="shared" si="85"/>
        <v>1997</v>
      </c>
      <c r="E1364" t="str">
        <f t="shared" si="86"/>
        <v>May-1997</v>
      </c>
      <c r="F1364" s="12">
        <f t="shared" si="87"/>
        <v>6.36</v>
      </c>
    </row>
    <row r="1365" spans="1:6" x14ac:dyDescent="0.25">
      <c r="A1365" s="1">
        <v>35566</v>
      </c>
      <c r="B1365">
        <v>7.91</v>
      </c>
      <c r="C1365" s="11">
        <f t="shared" si="84"/>
        <v>7.9100000000000004E-2</v>
      </c>
      <c r="D1365">
        <f t="shared" si="85"/>
        <v>1997</v>
      </c>
      <c r="E1365" t="str">
        <f t="shared" si="86"/>
        <v>May-1997</v>
      </c>
      <c r="F1365" s="12">
        <f t="shared" si="87"/>
        <v>6.36</v>
      </c>
    </row>
    <row r="1366" spans="1:6" x14ac:dyDescent="0.25">
      <c r="A1366" s="1">
        <v>35573</v>
      </c>
      <c r="B1366">
        <v>7.92</v>
      </c>
      <c r="C1366" s="11">
        <f t="shared" si="84"/>
        <v>7.9199999999999993E-2</v>
      </c>
      <c r="D1366">
        <f t="shared" si="85"/>
        <v>1997</v>
      </c>
      <c r="E1366" t="str">
        <f t="shared" si="86"/>
        <v>May-1997</v>
      </c>
      <c r="F1366" s="12">
        <f t="shared" si="87"/>
        <v>6.36</v>
      </c>
    </row>
    <row r="1367" spans="1:6" x14ac:dyDescent="0.25">
      <c r="A1367" s="1">
        <v>35580</v>
      </c>
      <c r="B1367">
        <v>7.94</v>
      </c>
      <c r="C1367" s="11">
        <f t="shared" si="84"/>
        <v>7.9399999999999998E-2</v>
      </c>
      <c r="D1367">
        <f t="shared" si="85"/>
        <v>1997</v>
      </c>
      <c r="E1367" t="str">
        <f t="shared" si="86"/>
        <v>May-1997</v>
      </c>
      <c r="F1367" s="12">
        <f t="shared" si="87"/>
        <v>6.36</v>
      </c>
    </row>
    <row r="1368" spans="1:6" x14ac:dyDescent="0.25">
      <c r="A1368" s="1">
        <v>35587</v>
      </c>
      <c r="B1368">
        <v>7.85</v>
      </c>
      <c r="C1368" s="11">
        <f t="shared" si="84"/>
        <v>7.85E-2</v>
      </c>
      <c r="D1368">
        <f t="shared" si="85"/>
        <v>1997</v>
      </c>
      <c r="E1368" t="str">
        <f t="shared" si="86"/>
        <v>Jun-1997</v>
      </c>
      <c r="F1368" s="12">
        <f t="shared" si="87"/>
        <v>6.36</v>
      </c>
    </row>
    <row r="1369" spans="1:6" x14ac:dyDescent="0.25">
      <c r="A1369" s="1">
        <v>35594</v>
      </c>
      <c r="B1369">
        <v>7.72</v>
      </c>
      <c r="C1369" s="11">
        <f t="shared" si="84"/>
        <v>7.7199999999999991E-2</v>
      </c>
      <c r="D1369">
        <f t="shared" si="85"/>
        <v>1997</v>
      </c>
      <c r="E1369" t="str">
        <f t="shared" si="86"/>
        <v>Jun-1997</v>
      </c>
      <c r="F1369" s="12">
        <f t="shared" si="87"/>
        <v>6.36</v>
      </c>
    </row>
    <row r="1370" spans="1:6" x14ac:dyDescent="0.25">
      <c r="A1370" s="1">
        <v>35601</v>
      </c>
      <c r="B1370">
        <v>7.61</v>
      </c>
      <c r="C1370" s="11">
        <f t="shared" si="84"/>
        <v>7.6100000000000001E-2</v>
      </c>
      <c r="D1370">
        <f t="shared" si="85"/>
        <v>1997</v>
      </c>
      <c r="E1370" t="str">
        <f t="shared" si="86"/>
        <v>Jun-1997</v>
      </c>
      <c r="F1370" s="12">
        <f t="shared" si="87"/>
        <v>6.36</v>
      </c>
    </row>
    <row r="1371" spans="1:6" x14ac:dyDescent="0.25">
      <c r="A1371" s="1">
        <v>35608</v>
      </c>
      <c r="B1371">
        <v>7.58</v>
      </c>
      <c r="C1371" s="11">
        <f t="shared" si="84"/>
        <v>7.5800000000000006E-2</v>
      </c>
      <c r="D1371">
        <f t="shared" si="85"/>
        <v>1997</v>
      </c>
      <c r="E1371" t="str">
        <f t="shared" si="86"/>
        <v>Jun-1997</v>
      </c>
      <c r="F1371" s="12">
        <f t="shared" si="87"/>
        <v>6.36</v>
      </c>
    </row>
    <row r="1372" spans="1:6" x14ac:dyDescent="0.25">
      <c r="A1372" s="1">
        <v>35615</v>
      </c>
      <c r="B1372">
        <v>7.62</v>
      </c>
      <c r="C1372" s="11">
        <f t="shared" si="84"/>
        <v>7.6200000000000004E-2</v>
      </c>
      <c r="D1372">
        <f t="shared" si="85"/>
        <v>1997</v>
      </c>
      <c r="E1372" t="str">
        <f t="shared" si="86"/>
        <v>Jul-1997</v>
      </c>
      <c r="F1372" s="12">
        <f t="shared" si="87"/>
        <v>6.36</v>
      </c>
    </row>
    <row r="1373" spans="1:6" x14ac:dyDescent="0.25">
      <c r="A1373" s="1">
        <v>35622</v>
      </c>
      <c r="B1373">
        <v>7.47</v>
      </c>
      <c r="C1373" s="11">
        <f t="shared" si="84"/>
        <v>7.4700000000000003E-2</v>
      </c>
      <c r="D1373">
        <f t="shared" si="85"/>
        <v>1997</v>
      </c>
      <c r="E1373" t="str">
        <f t="shared" si="86"/>
        <v>Jul-1997</v>
      </c>
      <c r="F1373" s="12">
        <f t="shared" si="87"/>
        <v>6.36</v>
      </c>
    </row>
    <row r="1374" spans="1:6" x14ac:dyDescent="0.25">
      <c r="A1374" s="1">
        <v>35629</v>
      </c>
      <c r="B1374">
        <v>7.47</v>
      </c>
      <c r="C1374" s="11">
        <f t="shared" si="84"/>
        <v>7.4700000000000003E-2</v>
      </c>
      <c r="D1374">
        <f t="shared" si="85"/>
        <v>1997</v>
      </c>
      <c r="E1374" t="str">
        <f t="shared" si="86"/>
        <v>Jul-1997</v>
      </c>
      <c r="F1374" s="12">
        <f t="shared" si="87"/>
        <v>6.36</v>
      </c>
    </row>
    <row r="1375" spans="1:6" x14ac:dyDescent="0.25">
      <c r="A1375" s="1">
        <v>35636</v>
      </c>
      <c r="B1375">
        <v>7.43</v>
      </c>
      <c r="C1375" s="11">
        <f t="shared" si="84"/>
        <v>7.4299999999999991E-2</v>
      </c>
      <c r="D1375">
        <f t="shared" si="85"/>
        <v>1997</v>
      </c>
      <c r="E1375" t="str">
        <f t="shared" si="86"/>
        <v>Jul-1997</v>
      </c>
      <c r="F1375" s="12">
        <f t="shared" si="87"/>
        <v>6.36</v>
      </c>
    </row>
    <row r="1376" spans="1:6" x14ac:dyDescent="0.25">
      <c r="A1376" s="1">
        <v>35643</v>
      </c>
      <c r="B1376">
        <v>7.36</v>
      </c>
      <c r="C1376" s="11">
        <f t="shared" si="84"/>
        <v>7.3599999999999999E-2</v>
      </c>
      <c r="D1376">
        <f t="shared" si="85"/>
        <v>1997</v>
      </c>
      <c r="E1376" t="str">
        <f t="shared" si="86"/>
        <v>Aug-1997</v>
      </c>
      <c r="F1376" s="12">
        <f t="shared" si="87"/>
        <v>6.36</v>
      </c>
    </row>
    <row r="1377" spans="1:6" x14ac:dyDescent="0.25">
      <c r="A1377" s="1">
        <v>35650</v>
      </c>
      <c r="B1377">
        <v>7.46</v>
      </c>
      <c r="C1377" s="11">
        <f t="shared" si="84"/>
        <v>7.46E-2</v>
      </c>
      <c r="D1377">
        <f t="shared" si="85"/>
        <v>1997</v>
      </c>
      <c r="E1377" t="str">
        <f t="shared" si="86"/>
        <v>Aug-1997</v>
      </c>
      <c r="F1377" s="12">
        <f t="shared" si="87"/>
        <v>6.36</v>
      </c>
    </row>
    <row r="1378" spans="1:6" x14ac:dyDescent="0.25">
      <c r="A1378" s="1">
        <v>35657</v>
      </c>
      <c r="B1378">
        <v>7.54</v>
      </c>
      <c r="C1378" s="11">
        <f t="shared" si="84"/>
        <v>7.5399999999999995E-2</v>
      </c>
      <c r="D1378">
        <f t="shared" si="85"/>
        <v>1997</v>
      </c>
      <c r="E1378" t="str">
        <f t="shared" si="86"/>
        <v>Aug-1997</v>
      </c>
      <c r="F1378" s="12">
        <f t="shared" si="87"/>
        <v>6.36</v>
      </c>
    </row>
    <row r="1379" spans="1:6" x14ac:dyDescent="0.25">
      <c r="A1379" s="1">
        <v>35664</v>
      </c>
      <c r="B1379">
        <v>7.46</v>
      </c>
      <c r="C1379" s="11">
        <f t="shared" si="84"/>
        <v>7.46E-2</v>
      </c>
      <c r="D1379">
        <f t="shared" si="85"/>
        <v>1997</v>
      </c>
      <c r="E1379" t="str">
        <f t="shared" si="86"/>
        <v>Aug-1997</v>
      </c>
      <c r="F1379" s="12">
        <f t="shared" si="87"/>
        <v>6.36</v>
      </c>
    </row>
    <row r="1380" spans="1:6" x14ac:dyDescent="0.25">
      <c r="A1380" s="1">
        <v>35671</v>
      </c>
      <c r="B1380">
        <v>7.58</v>
      </c>
      <c r="C1380" s="11">
        <f t="shared" si="84"/>
        <v>7.5800000000000006E-2</v>
      </c>
      <c r="D1380">
        <f t="shared" si="85"/>
        <v>1997</v>
      </c>
      <c r="E1380" t="str">
        <f t="shared" si="86"/>
        <v>Aug-1997</v>
      </c>
      <c r="F1380" s="12">
        <f t="shared" si="87"/>
        <v>6.36</v>
      </c>
    </row>
    <row r="1381" spans="1:6" x14ac:dyDescent="0.25">
      <c r="A1381" s="1">
        <v>35678</v>
      </c>
      <c r="B1381">
        <v>7.53</v>
      </c>
      <c r="C1381" s="11">
        <f t="shared" si="84"/>
        <v>7.5300000000000006E-2</v>
      </c>
      <c r="D1381">
        <f t="shared" si="85"/>
        <v>1997</v>
      </c>
      <c r="E1381" t="str">
        <f t="shared" si="86"/>
        <v>Sep-1997</v>
      </c>
      <c r="F1381" s="12">
        <f t="shared" si="87"/>
        <v>6.36</v>
      </c>
    </row>
    <row r="1382" spans="1:6" x14ac:dyDescent="0.25">
      <c r="A1382" s="1">
        <v>35685</v>
      </c>
      <c r="B1382">
        <v>7.53</v>
      </c>
      <c r="C1382" s="11">
        <f t="shared" si="84"/>
        <v>7.5300000000000006E-2</v>
      </c>
      <c r="D1382">
        <f t="shared" si="85"/>
        <v>1997</v>
      </c>
      <c r="E1382" t="str">
        <f t="shared" si="86"/>
        <v>Sep-1997</v>
      </c>
      <c r="F1382" s="12">
        <f t="shared" si="87"/>
        <v>6.36</v>
      </c>
    </row>
    <row r="1383" spans="1:6" x14ac:dyDescent="0.25">
      <c r="A1383" s="1">
        <v>35692</v>
      </c>
      <c r="B1383">
        <v>7.38</v>
      </c>
      <c r="C1383" s="11">
        <f t="shared" si="84"/>
        <v>7.3800000000000004E-2</v>
      </c>
      <c r="D1383">
        <f t="shared" si="85"/>
        <v>1997</v>
      </c>
      <c r="E1383" t="str">
        <f t="shared" si="86"/>
        <v>Sep-1997</v>
      </c>
      <c r="F1383" s="12">
        <f t="shared" si="87"/>
        <v>6.36</v>
      </c>
    </row>
    <row r="1384" spans="1:6" x14ac:dyDescent="0.25">
      <c r="A1384" s="1">
        <v>35699</v>
      </c>
      <c r="B1384">
        <v>7.28</v>
      </c>
      <c r="C1384" s="11">
        <f t="shared" si="84"/>
        <v>7.2800000000000004E-2</v>
      </c>
      <c r="D1384">
        <f t="shared" si="85"/>
        <v>1997</v>
      </c>
      <c r="E1384" t="str">
        <f t="shared" si="86"/>
        <v>Sep-1997</v>
      </c>
      <c r="F1384" s="12">
        <f t="shared" si="87"/>
        <v>6.36</v>
      </c>
    </row>
    <row r="1385" spans="1:6" x14ac:dyDescent="0.25">
      <c r="A1385" s="1">
        <v>35706</v>
      </c>
      <c r="B1385">
        <v>7.31</v>
      </c>
      <c r="C1385" s="11">
        <f t="shared" si="84"/>
        <v>7.3099999999999998E-2</v>
      </c>
      <c r="D1385">
        <f t="shared" si="85"/>
        <v>1997</v>
      </c>
      <c r="E1385" t="str">
        <f t="shared" si="86"/>
        <v>Oct-1997</v>
      </c>
      <c r="F1385" s="12">
        <f t="shared" si="87"/>
        <v>6.36</v>
      </c>
    </row>
    <row r="1386" spans="1:6" x14ac:dyDescent="0.25">
      <c r="A1386" s="1">
        <v>35713</v>
      </c>
      <c r="B1386">
        <v>7.26</v>
      </c>
      <c r="C1386" s="11">
        <f t="shared" si="84"/>
        <v>7.2599999999999998E-2</v>
      </c>
      <c r="D1386">
        <f t="shared" si="85"/>
        <v>1997</v>
      </c>
      <c r="E1386" t="str">
        <f t="shared" si="86"/>
        <v>Oct-1997</v>
      </c>
      <c r="F1386" s="12">
        <f t="shared" si="87"/>
        <v>6.36</v>
      </c>
    </row>
    <row r="1387" spans="1:6" x14ac:dyDescent="0.25">
      <c r="A1387" s="1">
        <v>35720</v>
      </c>
      <c r="B1387">
        <v>7.34</v>
      </c>
      <c r="C1387" s="11">
        <f t="shared" si="84"/>
        <v>7.3399999999999993E-2</v>
      </c>
      <c r="D1387">
        <f t="shared" si="85"/>
        <v>1997</v>
      </c>
      <c r="E1387" t="str">
        <f t="shared" si="86"/>
        <v>Oct-1997</v>
      </c>
      <c r="F1387" s="12">
        <f t="shared" si="87"/>
        <v>6.36</v>
      </c>
    </row>
    <row r="1388" spans="1:6" x14ac:dyDescent="0.25">
      <c r="A1388" s="1">
        <v>35727</v>
      </c>
      <c r="B1388">
        <v>7.35</v>
      </c>
      <c r="C1388" s="11">
        <f t="shared" si="84"/>
        <v>7.3499999999999996E-2</v>
      </c>
      <c r="D1388">
        <f t="shared" si="85"/>
        <v>1997</v>
      </c>
      <c r="E1388" t="str">
        <f t="shared" si="86"/>
        <v>Oct-1997</v>
      </c>
      <c r="F1388" s="12">
        <f t="shared" si="87"/>
        <v>6.36</v>
      </c>
    </row>
    <row r="1389" spans="1:6" x14ac:dyDescent="0.25">
      <c r="A1389" s="1">
        <v>35734</v>
      </c>
      <c r="B1389">
        <v>7.21</v>
      </c>
      <c r="C1389" s="11">
        <f t="shared" si="84"/>
        <v>7.2099999999999997E-2</v>
      </c>
      <c r="D1389">
        <f t="shared" si="85"/>
        <v>1997</v>
      </c>
      <c r="E1389" t="str">
        <f t="shared" si="86"/>
        <v>Oct-1997</v>
      </c>
      <c r="F1389" s="12">
        <f t="shared" si="87"/>
        <v>6.36</v>
      </c>
    </row>
    <row r="1390" spans="1:6" x14ac:dyDescent="0.25">
      <c r="A1390" s="1">
        <v>35741</v>
      </c>
      <c r="B1390">
        <v>7.24</v>
      </c>
      <c r="C1390" s="11">
        <f t="shared" si="84"/>
        <v>7.2400000000000006E-2</v>
      </c>
      <c r="D1390">
        <f t="shared" si="85"/>
        <v>1997</v>
      </c>
      <c r="E1390" t="str">
        <f t="shared" si="86"/>
        <v>Nov-1997</v>
      </c>
      <c r="F1390" s="12">
        <f t="shared" si="87"/>
        <v>6.36</v>
      </c>
    </row>
    <row r="1391" spans="1:6" x14ac:dyDescent="0.25">
      <c r="A1391" s="1">
        <v>35748</v>
      </c>
      <c r="B1391">
        <v>7.23</v>
      </c>
      <c r="C1391" s="11">
        <f t="shared" si="84"/>
        <v>7.2300000000000003E-2</v>
      </c>
      <c r="D1391">
        <f t="shared" si="85"/>
        <v>1997</v>
      </c>
      <c r="E1391" t="str">
        <f t="shared" si="86"/>
        <v>Nov-1997</v>
      </c>
      <c r="F1391" s="12">
        <f t="shared" si="87"/>
        <v>6.36</v>
      </c>
    </row>
    <row r="1392" spans="1:6" x14ac:dyDescent="0.25">
      <c r="A1392" s="1">
        <v>35755</v>
      </c>
      <c r="B1392">
        <v>7.18</v>
      </c>
      <c r="C1392" s="11">
        <f t="shared" si="84"/>
        <v>7.1800000000000003E-2</v>
      </c>
      <c r="D1392">
        <f t="shared" si="85"/>
        <v>1997</v>
      </c>
      <c r="E1392" t="str">
        <f t="shared" si="86"/>
        <v>Nov-1997</v>
      </c>
      <c r="F1392" s="12">
        <f t="shared" si="87"/>
        <v>6.36</v>
      </c>
    </row>
    <row r="1393" spans="1:6" x14ac:dyDescent="0.25">
      <c r="A1393" s="1">
        <v>35762</v>
      </c>
      <c r="B1393">
        <v>7.17</v>
      </c>
      <c r="C1393" s="11">
        <f t="shared" si="84"/>
        <v>7.17E-2</v>
      </c>
      <c r="D1393">
        <f t="shared" si="85"/>
        <v>1997</v>
      </c>
      <c r="E1393" t="str">
        <f t="shared" si="86"/>
        <v>Nov-1997</v>
      </c>
      <c r="F1393" s="12">
        <f t="shared" si="87"/>
        <v>6.36</v>
      </c>
    </row>
    <row r="1394" spans="1:6" x14ac:dyDescent="0.25">
      <c r="A1394" s="1">
        <v>35769</v>
      </c>
      <c r="B1394">
        <v>7.15</v>
      </c>
      <c r="C1394" s="11">
        <f t="shared" si="84"/>
        <v>7.1500000000000008E-2</v>
      </c>
      <c r="D1394">
        <f t="shared" si="85"/>
        <v>1997</v>
      </c>
      <c r="E1394" t="str">
        <f t="shared" si="86"/>
        <v>Dec-1997</v>
      </c>
      <c r="F1394" s="12">
        <f t="shared" si="87"/>
        <v>6.36</v>
      </c>
    </row>
    <row r="1395" spans="1:6" x14ac:dyDescent="0.25">
      <c r="A1395" s="1">
        <v>35776</v>
      </c>
      <c r="B1395">
        <v>7.17</v>
      </c>
      <c r="C1395" s="11">
        <f t="shared" si="84"/>
        <v>7.17E-2</v>
      </c>
      <c r="D1395">
        <f t="shared" si="85"/>
        <v>1997</v>
      </c>
      <c r="E1395" t="str">
        <f t="shared" si="86"/>
        <v>Dec-1997</v>
      </c>
      <c r="F1395" s="12">
        <f t="shared" si="87"/>
        <v>6.36</v>
      </c>
    </row>
    <row r="1396" spans="1:6" x14ac:dyDescent="0.25">
      <c r="A1396" s="1">
        <v>35783</v>
      </c>
      <c r="B1396">
        <v>7.07</v>
      </c>
      <c r="C1396" s="11">
        <f t="shared" si="84"/>
        <v>7.0699999999999999E-2</v>
      </c>
      <c r="D1396">
        <f t="shared" si="85"/>
        <v>1997</v>
      </c>
      <c r="E1396" t="str">
        <f t="shared" si="86"/>
        <v>Dec-1997</v>
      </c>
      <c r="F1396" s="12">
        <f t="shared" si="87"/>
        <v>6.36</v>
      </c>
    </row>
    <row r="1397" spans="1:6" x14ac:dyDescent="0.25">
      <c r="A1397" s="1">
        <v>35790</v>
      </c>
      <c r="B1397">
        <v>6.99</v>
      </c>
      <c r="C1397" s="11">
        <f t="shared" si="84"/>
        <v>6.9900000000000004E-2</v>
      </c>
      <c r="D1397">
        <f t="shared" si="85"/>
        <v>1997</v>
      </c>
      <c r="E1397" t="str">
        <f t="shared" si="86"/>
        <v>Dec-1997</v>
      </c>
      <c r="F1397" s="12">
        <f t="shared" si="87"/>
        <v>6.36</v>
      </c>
    </row>
    <row r="1398" spans="1:6" x14ac:dyDescent="0.25">
      <c r="A1398" s="1">
        <v>35797</v>
      </c>
      <c r="B1398">
        <v>7.03</v>
      </c>
      <c r="C1398" s="11">
        <f t="shared" si="84"/>
        <v>7.0300000000000001E-2</v>
      </c>
      <c r="D1398">
        <f t="shared" si="85"/>
        <v>1998</v>
      </c>
      <c r="E1398" t="str">
        <f t="shared" si="86"/>
        <v>Jan-1998</v>
      </c>
      <c r="F1398" s="12">
        <f t="shared" si="87"/>
        <v>6.36</v>
      </c>
    </row>
    <row r="1399" spans="1:6" x14ac:dyDescent="0.25">
      <c r="A1399" s="1">
        <v>35804</v>
      </c>
      <c r="B1399">
        <v>6.94</v>
      </c>
      <c r="C1399" s="11">
        <f t="shared" si="84"/>
        <v>6.9400000000000003E-2</v>
      </c>
      <c r="D1399">
        <f t="shared" si="85"/>
        <v>1998</v>
      </c>
      <c r="E1399" t="str">
        <f t="shared" si="86"/>
        <v>Jan-1998</v>
      </c>
      <c r="F1399" s="12">
        <f t="shared" si="87"/>
        <v>6.36</v>
      </c>
    </row>
    <row r="1400" spans="1:6" x14ac:dyDescent="0.25">
      <c r="A1400" s="1">
        <v>35811</v>
      </c>
      <c r="B1400">
        <v>6.89</v>
      </c>
      <c r="C1400" s="11">
        <f t="shared" si="84"/>
        <v>6.8900000000000003E-2</v>
      </c>
      <c r="D1400">
        <f t="shared" si="85"/>
        <v>1998</v>
      </c>
      <c r="E1400" t="str">
        <f t="shared" si="86"/>
        <v>Jan-1998</v>
      </c>
      <c r="F1400" s="12">
        <f t="shared" si="87"/>
        <v>6.36</v>
      </c>
    </row>
    <row r="1401" spans="1:6" x14ac:dyDescent="0.25">
      <c r="A1401" s="1">
        <v>35818</v>
      </c>
      <c r="B1401">
        <v>6.99</v>
      </c>
      <c r="C1401" s="11">
        <f t="shared" si="84"/>
        <v>6.9900000000000004E-2</v>
      </c>
      <c r="D1401">
        <f t="shared" si="85"/>
        <v>1998</v>
      </c>
      <c r="E1401" t="str">
        <f t="shared" si="86"/>
        <v>Jan-1998</v>
      </c>
      <c r="F1401" s="12">
        <f t="shared" si="87"/>
        <v>6.36</v>
      </c>
    </row>
    <row r="1402" spans="1:6" x14ac:dyDescent="0.25">
      <c r="A1402" s="1">
        <v>35825</v>
      </c>
      <c r="B1402">
        <v>7.12</v>
      </c>
      <c r="C1402" s="11">
        <f t="shared" si="84"/>
        <v>7.1199999999999999E-2</v>
      </c>
      <c r="D1402">
        <f t="shared" si="85"/>
        <v>1998</v>
      </c>
      <c r="E1402" t="str">
        <f t="shared" si="86"/>
        <v>Jan-1998</v>
      </c>
      <c r="F1402" s="12">
        <f t="shared" si="87"/>
        <v>6.36</v>
      </c>
    </row>
    <row r="1403" spans="1:6" x14ac:dyDescent="0.25">
      <c r="A1403" s="1">
        <v>35832</v>
      </c>
      <c r="B1403">
        <v>7.03</v>
      </c>
      <c r="C1403" s="11">
        <f t="shared" si="84"/>
        <v>7.0300000000000001E-2</v>
      </c>
      <c r="D1403">
        <f t="shared" si="85"/>
        <v>1998</v>
      </c>
      <c r="E1403" t="str">
        <f t="shared" si="86"/>
        <v>Feb-1998</v>
      </c>
      <c r="F1403" s="12">
        <f t="shared" si="87"/>
        <v>6.36</v>
      </c>
    </row>
    <row r="1404" spans="1:6" x14ac:dyDescent="0.25">
      <c r="A1404" s="1">
        <v>35839</v>
      </c>
      <c r="B1404">
        <v>7.06</v>
      </c>
      <c r="C1404" s="11">
        <f t="shared" si="84"/>
        <v>7.0599999999999996E-2</v>
      </c>
      <c r="D1404">
        <f t="shared" si="85"/>
        <v>1998</v>
      </c>
      <c r="E1404" t="str">
        <f t="shared" si="86"/>
        <v>Feb-1998</v>
      </c>
      <c r="F1404" s="12">
        <f t="shared" si="87"/>
        <v>6.36</v>
      </c>
    </row>
    <row r="1405" spans="1:6" x14ac:dyDescent="0.25">
      <c r="A1405" s="1">
        <v>35846</v>
      </c>
      <c r="B1405">
        <v>6.99</v>
      </c>
      <c r="C1405" s="11">
        <f t="shared" si="84"/>
        <v>6.9900000000000004E-2</v>
      </c>
      <c r="D1405">
        <f t="shared" si="85"/>
        <v>1998</v>
      </c>
      <c r="E1405" t="str">
        <f t="shared" si="86"/>
        <v>Feb-1998</v>
      </c>
      <c r="F1405" s="12">
        <f t="shared" si="87"/>
        <v>6.36</v>
      </c>
    </row>
    <row r="1406" spans="1:6" x14ac:dyDescent="0.25">
      <c r="A1406" s="1">
        <v>35854</v>
      </c>
      <c r="B1406">
        <v>7.09</v>
      </c>
      <c r="C1406" s="11">
        <f t="shared" si="84"/>
        <v>7.0900000000000005E-2</v>
      </c>
      <c r="D1406">
        <f t="shared" si="85"/>
        <v>1998</v>
      </c>
      <c r="E1406" t="str">
        <f t="shared" si="86"/>
        <v>Feb-1998</v>
      </c>
      <c r="F1406" s="12">
        <f t="shared" si="87"/>
        <v>6.36</v>
      </c>
    </row>
    <row r="1407" spans="1:6" x14ac:dyDescent="0.25">
      <c r="A1407" s="1">
        <v>35860</v>
      </c>
      <c r="B1407">
        <v>7.19</v>
      </c>
      <c r="C1407" s="11">
        <f t="shared" si="84"/>
        <v>7.1900000000000006E-2</v>
      </c>
      <c r="D1407">
        <f t="shared" si="85"/>
        <v>1998</v>
      </c>
      <c r="E1407" t="str">
        <f t="shared" si="86"/>
        <v>Mar-1998</v>
      </c>
      <c r="F1407" s="12">
        <f t="shared" si="87"/>
        <v>6.36</v>
      </c>
    </row>
    <row r="1408" spans="1:6" x14ac:dyDescent="0.25">
      <c r="A1408" s="1">
        <v>35867</v>
      </c>
      <c r="B1408">
        <v>7.16</v>
      </c>
      <c r="C1408" s="11">
        <f t="shared" si="84"/>
        <v>7.1599999999999997E-2</v>
      </c>
      <c r="D1408">
        <f t="shared" si="85"/>
        <v>1998</v>
      </c>
      <c r="E1408" t="str">
        <f t="shared" si="86"/>
        <v>Mar-1998</v>
      </c>
      <c r="F1408" s="12">
        <f t="shared" si="87"/>
        <v>6.36</v>
      </c>
    </row>
    <row r="1409" spans="1:6" x14ac:dyDescent="0.25">
      <c r="A1409" s="1">
        <v>35874</v>
      </c>
      <c r="B1409">
        <v>7.08</v>
      </c>
      <c r="C1409" s="11">
        <f t="shared" si="84"/>
        <v>7.0800000000000002E-2</v>
      </c>
      <c r="D1409">
        <f t="shared" si="85"/>
        <v>1998</v>
      </c>
      <c r="E1409" t="str">
        <f t="shared" si="86"/>
        <v>Mar-1998</v>
      </c>
      <c r="F1409" s="12">
        <f t="shared" si="87"/>
        <v>6.36</v>
      </c>
    </row>
    <row r="1410" spans="1:6" x14ac:dyDescent="0.25">
      <c r="A1410" s="1">
        <v>35881</v>
      </c>
      <c r="B1410">
        <v>7.08</v>
      </c>
      <c r="C1410" s="11">
        <f t="shared" ref="C1410:C1473" si="88">B1410/100</f>
        <v>7.0800000000000002E-2</v>
      </c>
      <c r="D1410">
        <f t="shared" ref="D1410:D1473" si="89">YEAR(A1410)</f>
        <v>1998</v>
      </c>
      <c r="E1410" t="str">
        <f t="shared" ref="E1410:E1473" si="90">TEXT(A1410,"MMM-YYYY")</f>
        <v>Mar-1998</v>
      </c>
      <c r="F1410" s="12">
        <f t="shared" ref="F1410:F1473" si="91">$H$2</f>
        <v>6.36</v>
      </c>
    </row>
    <row r="1411" spans="1:6" x14ac:dyDescent="0.25">
      <c r="A1411" s="1">
        <v>35888</v>
      </c>
      <c r="B1411">
        <v>7.15</v>
      </c>
      <c r="C1411" s="11">
        <f t="shared" si="88"/>
        <v>7.1500000000000008E-2</v>
      </c>
      <c r="D1411">
        <f t="shared" si="89"/>
        <v>1998</v>
      </c>
      <c r="E1411" t="str">
        <f t="shared" si="90"/>
        <v>Apr-1998</v>
      </c>
      <c r="F1411" s="12">
        <f t="shared" si="91"/>
        <v>6.36</v>
      </c>
    </row>
    <row r="1412" spans="1:6" x14ac:dyDescent="0.25">
      <c r="A1412" s="1">
        <v>35895</v>
      </c>
      <c r="B1412">
        <v>7.09</v>
      </c>
      <c r="C1412" s="11">
        <f t="shared" si="88"/>
        <v>7.0900000000000005E-2</v>
      </c>
      <c r="D1412">
        <f t="shared" si="89"/>
        <v>1998</v>
      </c>
      <c r="E1412" t="str">
        <f t="shared" si="90"/>
        <v>Apr-1998</v>
      </c>
      <c r="F1412" s="12">
        <f t="shared" si="91"/>
        <v>6.36</v>
      </c>
    </row>
    <row r="1413" spans="1:6" x14ac:dyDescent="0.25">
      <c r="A1413" s="1">
        <v>35902</v>
      </c>
      <c r="B1413">
        <v>7.17</v>
      </c>
      <c r="C1413" s="11">
        <f t="shared" si="88"/>
        <v>7.17E-2</v>
      </c>
      <c r="D1413">
        <f t="shared" si="89"/>
        <v>1998</v>
      </c>
      <c r="E1413" t="str">
        <f t="shared" si="90"/>
        <v>Apr-1998</v>
      </c>
      <c r="F1413" s="12">
        <f t="shared" si="91"/>
        <v>6.36</v>
      </c>
    </row>
    <row r="1414" spans="1:6" x14ac:dyDescent="0.25">
      <c r="A1414" s="1">
        <v>35909</v>
      </c>
      <c r="B1414">
        <v>7.15</v>
      </c>
      <c r="C1414" s="11">
        <f t="shared" si="88"/>
        <v>7.1500000000000008E-2</v>
      </c>
      <c r="D1414">
        <f t="shared" si="89"/>
        <v>1998</v>
      </c>
      <c r="E1414" t="str">
        <f t="shared" si="90"/>
        <v>Apr-1998</v>
      </c>
      <c r="F1414" s="12">
        <f t="shared" si="91"/>
        <v>6.36</v>
      </c>
    </row>
    <row r="1415" spans="1:6" x14ac:dyDescent="0.25">
      <c r="A1415" s="1">
        <v>35916</v>
      </c>
      <c r="B1415">
        <v>7.22</v>
      </c>
      <c r="C1415" s="11">
        <f t="shared" si="88"/>
        <v>7.22E-2</v>
      </c>
      <c r="D1415">
        <f t="shared" si="89"/>
        <v>1998</v>
      </c>
      <c r="E1415" t="str">
        <f t="shared" si="90"/>
        <v>May-1998</v>
      </c>
      <c r="F1415" s="12">
        <f t="shared" si="91"/>
        <v>6.36</v>
      </c>
    </row>
    <row r="1416" spans="1:6" x14ac:dyDescent="0.25">
      <c r="A1416" s="1">
        <v>35923</v>
      </c>
      <c r="B1416">
        <v>7.14</v>
      </c>
      <c r="C1416" s="11">
        <f t="shared" si="88"/>
        <v>7.1399999999999991E-2</v>
      </c>
      <c r="D1416">
        <f t="shared" si="89"/>
        <v>1998</v>
      </c>
      <c r="E1416" t="str">
        <f t="shared" si="90"/>
        <v>May-1998</v>
      </c>
      <c r="F1416" s="12">
        <f t="shared" si="91"/>
        <v>6.36</v>
      </c>
    </row>
    <row r="1417" spans="1:6" x14ac:dyDescent="0.25">
      <c r="A1417" s="1">
        <v>35930</v>
      </c>
      <c r="B1417">
        <v>7.19</v>
      </c>
      <c r="C1417" s="11">
        <f t="shared" si="88"/>
        <v>7.1900000000000006E-2</v>
      </c>
      <c r="D1417">
        <f t="shared" si="89"/>
        <v>1998</v>
      </c>
      <c r="E1417" t="str">
        <f t="shared" si="90"/>
        <v>May-1998</v>
      </c>
      <c r="F1417" s="12">
        <f t="shared" si="91"/>
        <v>6.36</v>
      </c>
    </row>
    <row r="1418" spans="1:6" x14ac:dyDescent="0.25">
      <c r="A1418" s="1">
        <v>35937</v>
      </c>
      <c r="B1418">
        <v>7.1</v>
      </c>
      <c r="C1418" s="11">
        <f t="shared" si="88"/>
        <v>7.0999999999999994E-2</v>
      </c>
      <c r="D1418">
        <f t="shared" si="89"/>
        <v>1998</v>
      </c>
      <c r="E1418" t="str">
        <f t="shared" si="90"/>
        <v>May-1998</v>
      </c>
      <c r="F1418" s="12">
        <f t="shared" si="91"/>
        <v>6.36</v>
      </c>
    </row>
    <row r="1419" spans="1:6" x14ac:dyDescent="0.25">
      <c r="A1419" s="1">
        <v>35944</v>
      </c>
      <c r="B1419">
        <v>7.07</v>
      </c>
      <c r="C1419" s="11">
        <f t="shared" si="88"/>
        <v>7.0699999999999999E-2</v>
      </c>
      <c r="D1419">
        <f t="shared" si="89"/>
        <v>1998</v>
      </c>
      <c r="E1419" t="str">
        <f t="shared" si="90"/>
        <v>May-1998</v>
      </c>
      <c r="F1419" s="12">
        <f t="shared" si="91"/>
        <v>6.36</v>
      </c>
    </row>
    <row r="1420" spans="1:6" x14ac:dyDescent="0.25">
      <c r="A1420" s="1">
        <v>35951</v>
      </c>
      <c r="B1420">
        <v>7.05</v>
      </c>
      <c r="C1420" s="11">
        <f t="shared" si="88"/>
        <v>7.0499999999999993E-2</v>
      </c>
      <c r="D1420">
        <f t="shared" si="89"/>
        <v>1998</v>
      </c>
      <c r="E1420" t="str">
        <f t="shared" si="90"/>
        <v>Jun-1998</v>
      </c>
      <c r="F1420" s="12">
        <f t="shared" si="91"/>
        <v>6.36</v>
      </c>
    </row>
    <row r="1421" spans="1:6" x14ac:dyDescent="0.25">
      <c r="A1421" s="1">
        <v>35958</v>
      </c>
      <c r="B1421">
        <v>7.04</v>
      </c>
      <c r="C1421" s="11">
        <f t="shared" si="88"/>
        <v>7.0400000000000004E-2</v>
      </c>
      <c r="D1421">
        <f t="shared" si="89"/>
        <v>1998</v>
      </c>
      <c r="E1421" t="str">
        <f t="shared" si="90"/>
        <v>Jun-1998</v>
      </c>
      <c r="F1421" s="12">
        <f t="shared" si="91"/>
        <v>6.36</v>
      </c>
    </row>
    <row r="1422" spans="1:6" x14ac:dyDescent="0.25">
      <c r="A1422" s="1">
        <v>35965</v>
      </c>
      <c r="B1422">
        <v>6.94</v>
      </c>
      <c r="C1422" s="11">
        <f t="shared" si="88"/>
        <v>6.9400000000000003E-2</v>
      </c>
      <c r="D1422">
        <f t="shared" si="89"/>
        <v>1998</v>
      </c>
      <c r="E1422" t="str">
        <f t="shared" si="90"/>
        <v>Jun-1998</v>
      </c>
      <c r="F1422" s="12">
        <f t="shared" si="91"/>
        <v>6.36</v>
      </c>
    </row>
    <row r="1423" spans="1:6" x14ac:dyDescent="0.25">
      <c r="A1423" s="1">
        <v>35972</v>
      </c>
      <c r="B1423">
        <v>6.96</v>
      </c>
      <c r="C1423" s="11">
        <f t="shared" si="88"/>
        <v>6.9599999999999995E-2</v>
      </c>
      <c r="D1423">
        <f t="shared" si="89"/>
        <v>1998</v>
      </c>
      <c r="E1423" t="str">
        <f t="shared" si="90"/>
        <v>Jun-1998</v>
      </c>
      <c r="F1423" s="12">
        <f t="shared" si="91"/>
        <v>6.36</v>
      </c>
    </row>
    <row r="1424" spans="1:6" x14ac:dyDescent="0.25">
      <c r="A1424" s="1">
        <v>35979</v>
      </c>
      <c r="B1424">
        <v>6.98</v>
      </c>
      <c r="C1424" s="11">
        <f t="shared" si="88"/>
        <v>6.9800000000000001E-2</v>
      </c>
      <c r="D1424">
        <f t="shared" si="89"/>
        <v>1998</v>
      </c>
      <c r="E1424" t="str">
        <f t="shared" si="90"/>
        <v>Jul-1998</v>
      </c>
      <c r="F1424" s="12">
        <f t="shared" si="91"/>
        <v>6.36</v>
      </c>
    </row>
    <row r="1425" spans="1:6" x14ac:dyDescent="0.25">
      <c r="A1425" s="1">
        <v>35986</v>
      </c>
      <c r="B1425">
        <v>6.91</v>
      </c>
      <c r="C1425" s="11">
        <f t="shared" si="88"/>
        <v>6.9099999999999995E-2</v>
      </c>
      <c r="D1425">
        <f t="shared" si="89"/>
        <v>1998</v>
      </c>
      <c r="E1425" t="str">
        <f t="shared" si="90"/>
        <v>Jul-1998</v>
      </c>
      <c r="F1425" s="12">
        <f t="shared" si="91"/>
        <v>6.36</v>
      </c>
    </row>
    <row r="1426" spans="1:6" x14ac:dyDescent="0.25">
      <c r="A1426" s="1">
        <v>35993</v>
      </c>
      <c r="B1426">
        <v>6.94</v>
      </c>
      <c r="C1426" s="11">
        <f t="shared" si="88"/>
        <v>6.9400000000000003E-2</v>
      </c>
      <c r="D1426">
        <f t="shared" si="89"/>
        <v>1998</v>
      </c>
      <c r="E1426" t="str">
        <f t="shared" si="90"/>
        <v>Jul-1998</v>
      </c>
      <c r="F1426" s="12">
        <f t="shared" si="91"/>
        <v>6.36</v>
      </c>
    </row>
    <row r="1427" spans="1:6" x14ac:dyDescent="0.25">
      <c r="A1427" s="1">
        <v>36000</v>
      </c>
      <c r="B1427">
        <v>6.96</v>
      </c>
      <c r="C1427" s="11">
        <f t="shared" si="88"/>
        <v>6.9599999999999995E-2</v>
      </c>
      <c r="D1427">
        <f t="shared" si="89"/>
        <v>1998</v>
      </c>
      <c r="E1427" t="str">
        <f t="shared" si="90"/>
        <v>Jul-1998</v>
      </c>
      <c r="F1427" s="12">
        <f t="shared" si="91"/>
        <v>6.36</v>
      </c>
    </row>
    <row r="1428" spans="1:6" x14ac:dyDescent="0.25">
      <c r="A1428" s="1">
        <v>36007</v>
      </c>
      <c r="B1428">
        <v>6.97</v>
      </c>
      <c r="C1428" s="11">
        <f t="shared" si="88"/>
        <v>6.9699999999999998E-2</v>
      </c>
      <c r="D1428">
        <f t="shared" si="89"/>
        <v>1998</v>
      </c>
      <c r="E1428" t="str">
        <f t="shared" si="90"/>
        <v>Jul-1998</v>
      </c>
      <c r="F1428" s="12">
        <f t="shared" si="91"/>
        <v>6.36</v>
      </c>
    </row>
    <row r="1429" spans="1:6" x14ac:dyDescent="0.25">
      <c r="A1429" s="1">
        <v>36014</v>
      </c>
      <c r="B1429">
        <v>6.94</v>
      </c>
      <c r="C1429" s="11">
        <f t="shared" si="88"/>
        <v>6.9400000000000003E-2</v>
      </c>
      <c r="D1429">
        <f t="shared" si="89"/>
        <v>1998</v>
      </c>
      <c r="E1429" t="str">
        <f t="shared" si="90"/>
        <v>Aug-1998</v>
      </c>
      <c r="F1429" s="12">
        <f t="shared" si="91"/>
        <v>6.36</v>
      </c>
    </row>
    <row r="1430" spans="1:6" x14ac:dyDescent="0.25">
      <c r="A1430" s="1">
        <v>36021</v>
      </c>
      <c r="B1430">
        <v>6.91</v>
      </c>
      <c r="C1430" s="11">
        <f t="shared" si="88"/>
        <v>6.9099999999999995E-2</v>
      </c>
      <c r="D1430">
        <f t="shared" si="89"/>
        <v>1998</v>
      </c>
      <c r="E1430" t="str">
        <f t="shared" si="90"/>
        <v>Aug-1998</v>
      </c>
      <c r="F1430" s="12">
        <f t="shared" si="91"/>
        <v>6.36</v>
      </c>
    </row>
    <row r="1431" spans="1:6" x14ac:dyDescent="0.25">
      <c r="A1431" s="1">
        <v>36028</v>
      </c>
      <c r="B1431">
        <v>6.92</v>
      </c>
      <c r="C1431" s="11">
        <f t="shared" si="88"/>
        <v>6.9199999999999998E-2</v>
      </c>
      <c r="D1431">
        <f t="shared" si="89"/>
        <v>1998</v>
      </c>
      <c r="E1431" t="str">
        <f t="shared" si="90"/>
        <v>Aug-1998</v>
      </c>
      <c r="F1431" s="12">
        <f t="shared" si="91"/>
        <v>6.36</v>
      </c>
    </row>
    <row r="1432" spans="1:6" x14ac:dyDescent="0.25">
      <c r="A1432" s="1">
        <v>36035</v>
      </c>
      <c r="B1432">
        <v>6.92</v>
      </c>
      <c r="C1432" s="11">
        <f t="shared" si="88"/>
        <v>6.9199999999999998E-2</v>
      </c>
      <c r="D1432">
        <f t="shared" si="89"/>
        <v>1998</v>
      </c>
      <c r="E1432" t="str">
        <f t="shared" si="90"/>
        <v>Aug-1998</v>
      </c>
      <c r="F1432" s="12">
        <f t="shared" si="91"/>
        <v>6.36</v>
      </c>
    </row>
    <row r="1433" spans="1:6" x14ac:dyDescent="0.25">
      <c r="A1433" s="1">
        <v>36042</v>
      </c>
      <c r="B1433">
        <v>6.82</v>
      </c>
      <c r="C1433" s="11">
        <f t="shared" si="88"/>
        <v>6.8199999999999997E-2</v>
      </c>
      <c r="D1433">
        <f t="shared" si="89"/>
        <v>1998</v>
      </c>
      <c r="E1433" t="str">
        <f t="shared" si="90"/>
        <v>Sep-1998</v>
      </c>
      <c r="F1433" s="12">
        <f t="shared" si="91"/>
        <v>6.36</v>
      </c>
    </row>
    <row r="1434" spans="1:6" x14ac:dyDescent="0.25">
      <c r="A1434" s="1">
        <v>36049</v>
      </c>
      <c r="B1434">
        <v>6.77</v>
      </c>
      <c r="C1434" s="11">
        <f t="shared" si="88"/>
        <v>6.7699999999999996E-2</v>
      </c>
      <c r="D1434">
        <f t="shared" si="89"/>
        <v>1998</v>
      </c>
      <c r="E1434" t="str">
        <f t="shared" si="90"/>
        <v>Sep-1998</v>
      </c>
      <c r="F1434" s="12">
        <f t="shared" si="91"/>
        <v>6.36</v>
      </c>
    </row>
    <row r="1435" spans="1:6" x14ac:dyDescent="0.25">
      <c r="A1435" s="1">
        <v>36056</v>
      </c>
      <c r="B1435">
        <v>6.66</v>
      </c>
      <c r="C1435" s="11">
        <f t="shared" si="88"/>
        <v>6.6600000000000006E-2</v>
      </c>
      <c r="D1435">
        <f t="shared" si="89"/>
        <v>1998</v>
      </c>
      <c r="E1435" t="str">
        <f t="shared" si="90"/>
        <v>Sep-1998</v>
      </c>
      <c r="F1435" s="12">
        <f t="shared" si="91"/>
        <v>6.36</v>
      </c>
    </row>
    <row r="1436" spans="1:6" x14ac:dyDescent="0.25">
      <c r="A1436" s="1">
        <v>36063</v>
      </c>
      <c r="B1436">
        <v>6.64</v>
      </c>
      <c r="C1436" s="11">
        <f t="shared" si="88"/>
        <v>6.6400000000000001E-2</v>
      </c>
      <c r="D1436">
        <f t="shared" si="89"/>
        <v>1998</v>
      </c>
      <c r="E1436" t="str">
        <f t="shared" si="90"/>
        <v>Sep-1998</v>
      </c>
      <c r="F1436" s="12">
        <f t="shared" si="91"/>
        <v>6.36</v>
      </c>
    </row>
    <row r="1437" spans="1:6" x14ac:dyDescent="0.25">
      <c r="A1437" s="1">
        <v>36070</v>
      </c>
      <c r="B1437">
        <v>6.6</v>
      </c>
      <c r="C1437" s="11">
        <f t="shared" si="88"/>
        <v>6.6000000000000003E-2</v>
      </c>
      <c r="D1437">
        <f t="shared" si="89"/>
        <v>1998</v>
      </c>
      <c r="E1437" t="str">
        <f t="shared" si="90"/>
        <v>Oct-1998</v>
      </c>
      <c r="F1437" s="12">
        <f t="shared" si="91"/>
        <v>6.36</v>
      </c>
    </row>
    <row r="1438" spans="1:6" x14ac:dyDescent="0.25">
      <c r="A1438" s="1">
        <v>36077</v>
      </c>
      <c r="B1438">
        <v>6.49</v>
      </c>
      <c r="C1438" s="11">
        <f t="shared" si="88"/>
        <v>6.4899999999999999E-2</v>
      </c>
      <c r="D1438">
        <f t="shared" si="89"/>
        <v>1998</v>
      </c>
      <c r="E1438" t="str">
        <f t="shared" si="90"/>
        <v>Oct-1998</v>
      </c>
      <c r="F1438" s="12">
        <f t="shared" si="91"/>
        <v>6.36</v>
      </c>
    </row>
    <row r="1439" spans="1:6" x14ac:dyDescent="0.25">
      <c r="A1439" s="1">
        <v>36084</v>
      </c>
      <c r="B1439">
        <v>6.9</v>
      </c>
      <c r="C1439" s="11">
        <f t="shared" si="88"/>
        <v>6.9000000000000006E-2</v>
      </c>
      <c r="D1439">
        <f t="shared" si="89"/>
        <v>1998</v>
      </c>
      <c r="E1439" t="str">
        <f t="shared" si="90"/>
        <v>Oct-1998</v>
      </c>
      <c r="F1439" s="12">
        <f t="shared" si="91"/>
        <v>6.36</v>
      </c>
    </row>
    <row r="1440" spans="1:6" x14ac:dyDescent="0.25">
      <c r="A1440" s="1">
        <v>36091</v>
      </c>
      <c r="B1440">
        <v>6.73</v>
      </c>
      <c r="C1440" s="11">
        <f t="shared" si="88"/>
        <v>6.7299999999999999E-2</v>
      </c>
      <c r="D1440">
        <f t="shared" si="89"/>
        <v>1998</v>
      </c>
      <c r="E1440" t="str">
        <f t="shared" si="90"/>
        <v>Oct-1998</v>
      </c>
      <c r="F1440" s="12">
        <f t="shared" si="91"/>
        <v>6.36</v>
      </c>
    </row>
    <row r="1441" spans="1:6" x14ac:dyDescent="0.25">
      <c r="A1441" s="1">
        <v>36098</v>
      </c>
      <c r="B1441">
        <v>6.83</v>
      </c>
      <c r="C1441" s="11">
        <f t="shared" si="88"/>
        <v>6.83E-2</v>
      </c>
      <c r="D1441">
        <f t="shared" si="89"/>
        <v>1998</v>
      </c>
      <c r="E1441" t="str">
        <f t="shared" si="90"/>
        <v>Oct-1998</v>
      </c>
      <c r="F1441" s="12">
        <f t="shared" si="91"/>
        <v>6.36</v>
      </c>
    </row>
    <row r="1442" spans="1:6" x14ac:dyDescent="0.25">
      <c r="A1442" s="1">
        <v>36105</v>
      </c>
      <c r="B1442">
        <v>6.89</v>
      </c>
      <c r="C1442" s="11">
        <f t="shared" si="88"/>
        <v>6.8900000000000003E-2</v>
      </c>
      <c r="D1442">
        <f t="shared" si="89"/>
        <v>1998</v>
      </c>
      <c r="E1442" t="str">
        <f t="shared" si="90"/>
        <v>Nov-1998</v>
      </c>
      <c r="F1442" s="12">
        <f t="shared" si="91"/>
        <v>6.36</v>
      </c>
    </row>
    <row r="1443" spans="1:6" x14ac:dyDescent="0.25">
      <c r="A1443" s="1">
        <v>36112</v>
      </c>
      <c r="B1443">
        <v>6.93</v>
      </c>
      <c r="C1443" s="11">
        <f t="shared" si="88"/>
        <v>6.93E-2</v>
      </c>
      <c r="D1443">
        <f t="shared" si="89"/>
        <v>1998</v>
      </c>
      <c r="E1443" t="str">
        <f t="shared" si="90"/>
        <v>Nov-1998</v>
      </c>
      <c r="F1443" s="12">
        <f t="shared" si="91"/>
        <v>6.36</v>
      </c>
    </row>
    <row r="1444" spans="1:6" x14ac:dyDescent="0.25">
      <c r="A1444" s="1">
        <v>36119</v>
      </c>
      <c r="B1444">
        <v>6.86</v>
      </c>
      <c r="C1444" s="11">
        <f t="shared" si="88"/>
        <v>6.8600000000000008E-2</v>
      </c>
      <c r="D1444">
        <f t="shared" si="89"/>
        <v>1998</v>
      </c>
      <c r="E1444" t="str">
        <f t="shared" si="90"/>
        <v>Nov-1998</v>
      </c>
      <c r="F1444" s="12">
        <f t="shared" si="91"/>
        <v>6.36</v>
      </c>
    </row>
    <row r="1445" spans="1:6" x14ac:dyDescent="0.25">
      <c r="A1445" s="1">
        <v>36126</v>
      </c>
      <c r="B1445">
        <v>6.78</v>
      </c>
      <c r="C1445" s="11">
        <f t="shared" si="88"/>
        <v>6.7799999999999999E-2</v>
      </c>
      <c r="D1445">
        <f t="shared" si="89"/>
        <v>1998</v>
      </c>
      <c r="E1445" t="str">
        <f t="shared" si="90"/>
        <v>Nov-1998</v>
      </c>
      <c r="F1445" s="12">
        <f t="shared" si="91"/>
        <v>6.36</v>
      </c>
    </row>
    <row r="1446" spans="1:6" x14ac:dyDescent="0.25">
      <c r="A1446" s="1">
        <v>36133</v>
      </c>
      <c r="B1446">
        <v>6.71</v>
      </c>
      <c r="C1446" s="11">
        <f t="shared" si="88"/>
        <v>6.7099999999999993E-2</v>
      </c>
      <c r="D1446">
        <f t="shared" si="89"/>
        <v>1998</v>
      </c>
      <c r="E1446" t="str">
        <f t="shared" si="90"/>
        <v>Dec-1998</v>
      </c>
      <c r="F1446" s="12">
        <f t="shared" si="91"/>
        <v>6.36</v>
      </c>
    </row>
    <row r="1447" spans="1:6" x14ac:dyDescent="0.25">
      <c r="A1447" s="1">
        <v>36140</v>
      </c>
      <c r="B1447">
        <v>6.69</v>
      </c>
      <c r="C1447" s="11">
        <f t="shared" si="88"/>
        <v>6.6900000000000001E-2</v>
      </c>
      <c r="D1447">
        <f t="shared" si="89"/>
        <v>1998</v>
      </c>
      <c r="E1447" t="str">
        <f t="shared" si="90"/>
        <v>Dec-1998</v>
      </c>
      <c r="F1447" s="12">
        <f t="shared" si="91"/>
        <v>6.36</v>
      </c>
    </row>
    <row r="1448" spans="1:6" x14ac:dyDescent="0.25">
      <c r="A1448" s="1">
        <v>36147</v>
      </c>
      <c r="B1448">
        <v>6.69</v>
      </c>
      <c r="C1448" s="11">
        <f t="shared" si="88"/>
        <v>6.6900000000000001E-2</v>
      </c>
      <c r="D1448">
        <f t="shared" si="89"/>
        <v>1998</v>
      </c>
      <c r="E1448" t="str">
        <f t="shared" si="90"/>
        <v>Dec-1998</v>
      </c>
      <c r="F1448" s="12">
        <f t="shared" si="91"/>
        <v>6.36</v>
      </c>
    </row>
    <row r="1449" spans="1:6" x14ac:dyDescent="0.25">
      <c r="A1449" s="1">
        <v>36154</v>
      </c>
      <c r="B1449">
        <v>6.77</v>
      </c>
      <c r="C1449" s="11">
        <f t="shared" si="88"/>
        <v>6.7699999999999996E-2</v>
      </c>
      <c r="D1449">
        <f t="shared" si="89"/>
        <v>1998</v>
      </c>
      <c r="E1449" t="str">
        <f t="shared" si="90"/>
        <v>Dec-1998</v>
      </c>
      <c r="F1449" s="12">
        <f t="shared" si="91"/>
        <v>6.36</v>
      </c>
    </row>
    <row r="1450" spans="1:6" x14ac:dyDescent="0.25">
      <c r="A1450" s="1">
        <v>36160</v>
      </c>
      <c r="B1450">
        <v>6.83</v>
      </c>
      <c r="C1450" s="11">
        <f t="shared" si="88"/>
        <v>6.83E-2</v>
      </c>
      <c r="D1450">
        <f t="shared" si="89"/>
        <v>1998</v>
      </c>
      <c r="E1450" t="str">
        <f t="shared" si="90"/>
        <v>Dec-1998</v>
      </c>
      <c r="F1450" s="12">
        <f t="shared" si="91"/>
        <v>6.36</v>
      </c>
    </row>
    <row r="1451" spans="1:6" x14ac:dyDescent="0.25">
      <c r="A1451" s="1">
        <v>36168</v>
      </c>
      <c r="B1451">
        <v>6.79</v>
      </c>
      <c r="C1451" s="11">
        <f t="shared" si="88"/>
        <v>6.7900000000000002E-2</v>
      </c>
      <c r="D1451">
        <f t="shared" si="89"/>
        <v>1999</v>
      </c>
      <c r="E1451" t="str">
        <f t="shared" si="90"/>
        <v>Jan-1999</v>
      </c>
      <c r="F1451" s="12">
        <f t="shared" si="91"/>
        <v>6.36</v>
      </c>
    </row>
    <row r="1452" spans="1:6" x14ac:dyDescent="0.25">
      <c r="A1452" s="1">
        <v>36175</v>
      </c>
      <c r="B1452">
        <v>6.83</v>
      </c>
      <c r="C1452" s="11">
        <f t="shared" si="88"/>
        <v>6.83E-2</v>
      </c>
      <c r="D1452">
        <f t="shared" si="89"/>
        <v>1999</v>
      </c>
      <c r="E1452" t="str">
        <f t="shared" si="90"/>
        <v>Jan-1999</v>
      </c>
      <c r="F1452" s="12">
        <f t="shared" si="91"/>
        <v>6.36</v>
      </c>
    </row>
    <row r="1453" spans="1:6" x14ac:dyDescent="0.25">
      <c r="A1453" s="1">
        <v>36182</v>
      </c>
      <c r="B1453">
        <v>6.78</v>
      </c>
      <c r="C1453" s="11">
        <f t="shared" si="88"/>
        <v>6.7799999999999999E-2</v>
      </c>
      <c r="D1453">
        <f t="shared" si="89"/>
        <v>1999</v>
      </c>
      <c r="E1453" t="str">
        <f t="shared" si="90"/>
        <v>Jan-1999</v>
      </c>
      <c r="F1453" s="12">
        <f t="shared" si="91"/>
        <v>6.36</v>
      </c>
    </row>
    <row r="1454" spans="1:6" x14ac:dyDescent="0.25">
      <c r="A1454" s="1">
        <v>36189</v>
      </c>
      <c r="B1454">
        <v>6.74</v>
      </c>
      <c r="C1454" s="11">
        <f t="shared" si="88"/>
        <v>6.7400000000000002E-2</v>
      </c>
      <c r="D1454">
        <f t="shared" si="89"/>
        <v>1999</v>
      </c>
      <c r="E1454" t="str">
        <f t="shared" si="90"/>
        <v>Jan-1999</v>
      </c>
      <c r="F1454" s="12">
        <f t="shared" si="91"/>
        <v>6.36</v>
      </c>
    </row>
    <row r="1455" spans="1:6" x14ac:dyDescent="0.25">
      <c r="A1455" s="1">
        <v>36196</v>
      </c>
      <c r="B1455">
        <v>6.75</v>
      </c>
      <c r="C1455" s="11">
        <f t="shared" si="88"/>
        <v>6.7500000000000004E-2</v>
      </c>
      <c r="D1455">
        <f t="shared" si="89"/>
        <v>1999</v>
      </c>
      <c r="E1455" t="str">
        <f t="shared" si="90"/>
        <v>Feb-1999</v>
      </c>
      <c r="F1455" s="12">
        <f t="shared" si="91"/>
        <v>6.36</v>
      </c>
    </row>
    <row r="1456" spans="1:6" x14ac:dyDescent="0.25">
      <c r="A1456" s="1">
        <v>36203</v>
      </c>
      <c r="B1456">
        <v>6.77</v>
      </c>
      <c r="C1456" s="11">
        <f t="shared" si="88"/>
        <v>6.7699999999999996E-2</v>
      </c>
      <c r="D1456">
        <f t="shared" si="89"/>
        <v>1999</v>
      </c>
      <c r="E1456" t="str">
        <f t="shared" si="90"/>
        <v>Feb-1999</v>
      </c>
      <c r="F1456" s="12">
        <f t="shared" si="91"/>
        <v>6.36</v>
      </c>
    </row>
    <row r="1457" spans="1:6" x14ac:dyDescent="0.25">
      <c r="A1457" s="1">
        <v>36210</v>
      </c>
      <c r="B1457">
        <v>6.82</v>
      </c>
      <c r="C1457" s="11">
        <f t="shared" si="88"/>
        <v>6.8199999999999997E-2</v>
      </c>
      <c r="D1457">
        <f t="shared" si="89"/>
        <v>1999</v>
      </c>
      <c r="E1457" t="str">
        <f t="shared" si="90"/>
        <v>Feb-1999</v>
      </c>
      <c r="F1457" s="12">
        <f t="shared" si="91"/>
        <v>6.36</v>
      </c>
    </row>
    <row r="1458" spans="1:6" x14ac:dyDescent="0.25">
      <c r="A1458" s="1">
        <v>36217</v>
      </c>
      <c r="B1458">
        <v>6.89</v>
      </c>
      <c r="C1458" s="11">
        <f t="shared" si="88"/>
        <v>6.8900000000000003E-2</v>
      </c>
      <c r="D1458">
        <f t="shared" si="89"/>
        <v>1999</v>
      </c>
      <c r="E1458" t="str">
        <f t="shared" si="90"/>
        <v>Feb-1999</v>
      </c>
      <c r="F1458" s="12">
        <f t="shared" si="91"/>
        <v>6.36</v>
      </c>
    </row>
    <row r="1459" spans="1:6" x14ac:dyDescent="0.25">
      <c r="A1459" s="1">
        <v>36224</v>
      </c>
      <c r="B1459">
        <v>7.06</v>
      </c>
      <c r="C1459" s="11">
        <f t="shared" si="88"/>
        <v>7.0599999999999996E-2</v>
      </c>
      <c r="D1459">
        <f t="shared" si="89"/>
        <v>1999</v>
      </c>
      <c r="E1459" t="str">
        <f t="shared" si="90"/>
        <v>Mar-1999</v>
      </c>
      <c r="F1459" s="12">
        <f t="shared" si="91"/>
        <v>6.36</v>
      </c>
    </row>
    <row r="1460" spans="1:6" x14ac:dyDescent="0.25">
      <c r="A1460" s="1">
        <v>36231</v>
      </c>
      <c r="B1460">
        <v>7.11</v>
      </c>
      <c r="C1460" s="11">
        <f t="shared" si="88"/>
        <v>7.1099999999999997E-2</v>
      </c>
      <c r="D1460">
        <f t="shared" si="89"/>
        <v>1999</v>
      </c>
      <c r="E1460" t="str">
        <f t="shared" si="90"/>
        <v>Mar-1999</v>
      </c>
      <c r="F1460" s="12">
        <f t="shared" si="91"/>
        <v>6.36</v>
      </c>
    </row>
    <row r="1461" spans="1:6" x14ac:dyDescent="0.25">
      <c r="A1461" s="1">
        <v>36238</v>
      </c>
      <c r="B1461">
        <v>7.01</v>
      </c>
      <c r="C1461" s="11">
        <f t="shared" si="88"/>
        <v>7.0099999999999996E-2</v>
      </c>
      <c r="D1461">
        <f t="shared" si="89"/>
        <v>1999</v>
      </c>
      <c r="E1461" t="str">
        <f t="shared" si="90"/>
        <v>Mar-1999</v>
      </c>
      <c r="F1461" s="12">
        <f t="shared" si="91"/>
        <v>6.36</v>
      </c>
    </row>
    <row r="1462" spans="1:6" x14ac:dyDescent="0.25">
      <c r="A1462" s="1">
        <v>36245</v>
      </c>
      <c r="B1462">
        <v>6.98</v>
      </c>
      <c r="C1462" s="11">
        <f t="shared" si="88"/>
        <v>6.9800000000000001E-2</v>
      </c>
      <c r="D1462">
        <f t="shared" si="89"/>
        <v>1999</v>
      </c>
      <c r="E1462" t="str">
        <f t="shared" si="90"/>
        <v>Mar-1999</v>
      </c>
      <c r="F1462" s="12">
        <f t="shared" si="91"/>
        <v>6.36</v>
      </c>
    </row>
    <row r="1463" spans="1:6" x14ac:dyDescent="0.25">
      <c r="A1463" s="1">
        <v>36252</v>
      </c>
      <c r="B1463">
        <v>6.98</v>
      </c>
      <c r="C1463" s="11">
        <f t="shared" si="88"/>
        <v>6.9800000000000001E-2</v>
      </c>
      <c r="D1463">
        <f t="shared" si="89"/>
        <v>1999</v>
      </c>
      <c r="E1463" t="str">
        <f t="shared" si="90"/>
        <v>Apr-1999</v>
      </c>
      <c r="F1463" s="12">
        <f t="shared" si="91"/>
        <v>6.36</v>
      </c>
    </row>
    <row r="1464" spans="1:6" x14ac:dyDescent="0.25">
      <c r="A1464" s="1">
        <v>36259</v>
      </c>
      <c r="B1464">
        <v>6.92</v>
      </c>
      <c r="C1464" s="11">
        <f t="shared" si="88"/>
        <v>6.9199999999999998E-2</v>
      </c>
      <c r="D1464">
        <f t="shared" si="89"/>
        <v>1999</v>
      </c>
      <c r="E1464" t="str">
        <f t="shared" si="90"/>
        <v>Apr-1999</v>
      </c>
      <c r="F1464" s="12">
        <f t="shared" si="91"/>
        <v>6.36</v>
      </c>
    </row>
    <row r="1465" spans="1:6" x14ac:dyDescent="0.25">
      <c r="A1465" s="1">
        <v>36266</v>
      </c>
      <c r="B1465">
        <v>6.87</v>
      </c>
      <c r="C1465" s="11">
        <f t="shared" si="88"/>
        <v>6.8699999999999997E-2</v>
      </c>
      <c r="D1465">
        <f t="shared" si="89"/>
        <v>1999</v>
      </c>
      <c r="E1465" t="str">
        <f t="shared" si="90"/>
        <v>Apr-1999</v>
      </c>
      <c r="F1465" s="12">
        <f t="shared" si="91"/>
        <v>6.36</v>
      </c>
    </row>
    <row r="1466" spans="1:6" x14ac:dyDescent="0.25">
      <c r="A1466" s="1">
        <v>36273</v>
      </c>
      <c r="B1466">
        <v>6.88</v>
      </c>
      <c r="C1466" s="11">
        <f t="shared" si="88"/>
        <v>6.88E-2</v>
      </c>
      <c r="D1466">
        <f t="shared" si="89"/>
        <v>1999</v>
      </c>
      <c r="E1466" t="str">
        <f t="shared" si="90"/>
        <v>Apr-1999</v>
      </c>
      <c r="F1466" s="12">
        <f t="shared" si="91"/>
        <v>6.36</v>
      </c>
    </row>
    <row r="1467" spans="1:6" x14ac:dyDescent="0.25">
      <c r="A1467" s="1">
        <v>36280</v>
      </c>
      <c r="B1467">
        <v>6.93</v>
      </c>
      <c r="C1467" s="11">
        <f t="shared" si="88"/>
        <v>6.93E-2</v>
      </c>
      <c r="D1467">
        <f t="shared" si="89"/>
        <v>1999</v>
      </c>
      <c r="E1467" t="str">
        <f t="shared" si="90"/>
        <v>Apr-1999</v>
      </c>
      <c r="F1467" s="12">
        <f t="shared" si="91"/>
        <v>6.36</v>
      </c>
    </row>
    <row r="1468" spans="1:6" x14ac:dyDescent="0.25">
      <c r="A1468" s="1">
        <v>36287</v>
      </c>
      <c r="B1468">
        <v>7.02</v>
      </c>
      <c r="C1468" s="11">
        <f t="shared" si="88"/>
        <v>7.0199999999999999E-2</v>
      </c>
      <c r="D1468">
        <f t="shared" si="89"/>
        <v>1999</v>
      </c>
      <c r="E1468" t="str">
        <f t="shared" si="90"/>
        <v>May-1999</v>
      </c>
      <c r="F1468" s="12">
        <f t="shared" si="91"/>
        <v>6.36</v>
      </c>
    </row>
    <row r="1469" spans="1:6" x14ac:dyDescent="0.25">
      <c r="A1469" s="1">
        <v>36294</v>
      </c>
      <c r="B1469">
        <v>7.1</v>
      </c>
      <c r="C1469" s="11">
        <f t="shared" si="88"/>
        <v>7.0999999999999994E-2</v>
      </c>
      <c r="D1469">
        <f t="shared" si="89"/>
        <v>1999</v>
      </c>
      <c r="E1469" t="str">
        <f t="shared" si="90"/>
        <v>May-1999</v>
      </c>
      <c r="F1469" s="12">
        <f t="shared" si="91"/>
        <v>6.36</v>
      </c>
    </row>
    <row r="1470" spans="1:6" x14ac:dyDescent="0.25">
      <c r="A1470" s="1">
        <v>36301</v>
      </c>
      <c r="B1470">
        <v>7.23</v>
      </c>
      <c r="C1470" s="11">
        <f t="shared" si="88"/>
        <v>7.2300000000000003E-2</v>
      </c>
      <c r="D1470">
        <f t="shared" si="89"/>
        <v>1999</v>
      </c>
      <c r="E1470" t="str">
        <f t="shared" si="90"/>
        <v>May-1999</v>
      </c>
      <c r="F1470" s="12">
        <f t="shared" si="91"/>
        <v>6.36</v>
      </c>
    </row>
    <row r="1471" spans="1:6" x14ac:dyDescent="0.25">
      <c r="A1471" s="1">
        <v>36308</v>
      </c>
      <c r="B1471">
        <v>7.23</v>
      </c>
      <c r="C1471" s="11">
        <f t="shared" si="88"/>
        <v>7.2300000000000003E-2</v>
      </c>
      <c r="D1471">
        <f t="shared" si="89"/>
        <v>1999</v>
      </c>
      <c r="E1471" t="str">
        <f t="shared" si="90"/>
        <v>May-1999</v>
      </c>
      <c r="F1471" s="12">
        <f t="shared" si="91"/>
        <v>6.36</v>
      </c>
    </row>
    <row r="1472" spans="1:6" x14ac:dyDescent="0.25">
      <c r="A1472" s="1">
        <v>36315</v>
      </c>
      <c r="B1472">
        <v>7.41</v>
      </c>
      <c r="C1472" s="11">
        <f t="shared" si="88"/>
        <v>7.4099999999999999E-2</v>
      </c>
      <c r="D1472">
        <f t="shared" si="89"/>
        <v>1999</v>
      </c>
      <c r="E1472" t="str">
        <f t="shared" si="90"/>
        <v>Jun-1999</v>
      </c>
      <c r="F1472" s="12">
        <f t="shared" si="91"/>
        <v>6.36</v>
      </c>
    </row>
    <row r="1473" spans="1:6" x14ac:dyDescent="0.25">
      <c r="A1473" s="1">
        <v>36322</v>
      </c>
      <c r="B1473">
        <v>7.51</v>
      </c>
      <c r="C1473" s="11">
        <f t="shared" si="88"/>
        <v>7.51E-2</v>
      </c>
      <c r="D1473">
        <f t="shared" si="89"/>
        <v>1999</v>
      </c>
      <c r="E1473" t="str">
        <f t="shared" si="90"/>
        <v>Jun-1999</v>
      </c>
      <c r="F1473" s="12">
        <f t="shared" si="91"/>
        <v>6.36</v>
      </c>
    </row>
    <row r="1474" spans="1:6" x14ac:dyDescent="0.25">
      <c r="A1474" s="1">
        <v>36329</v>
      </c>
      <c r="B1474">
        <v>7.65</v>
      </c>
      <c r="C1474" s="11">
        <f t="shared" ref="C1474:C1537" si="92">B1474/100</f>
        <v>7.6499999999999999E-2</v>
      </c>
      <c r="D1474">
        <f t="shared" ref="D1474:D1537" si="93">YEAR(A1474)</f>
        <v>1999</v>
      </c>
      <c r="E1474" t="str">
        <f t="shared" ref="E1474:E1537" si="94">TEXT(A1474,"MMM-YYYY")</f>
        <v>Jun-1999</v>
      </c>
      <c r="F1474" s="12">
        <f t="shared" ref="F1474:F1537" si="95">$H$2</f>
        <v>6.36</v>
      </c>
    </row>
    <row r="1475" spans="1:6" x14ac:dyDescent="0.25">
      <c r="A1475" s="1">
        <v>36336</v>
      </c>
      <c r="B1475">
        <v>7.63</v>
      </c>
      <c r="C1475" s="11">
        <f t="shared" si="92"/>
        <v>7.6299999999999993E-2</v>
      </c>
      <c r="D1475">
        <f t="shared" si="93"/>
        <v>1999</v>
      </c>
      <c r="E1475" t="str">
        <f t="shared" si="94"/>
        <v>Jun-1999</v>
      </c>
      <c r="F1475" s="12">
        <f t="shared" si="95"/>
        <v>6.36</v>
      </c>
    </row>
    <row r="1476" spans="1:6" x14ac:dyDescent="0.25">
      <c r="A1476" s="1">
        <v>36343</v>
      </c>
      <c r="B1476">
        <v>7.71</v>
      </c>
      <c r="C1476" s="11">
        <f t="shared" si="92"/>
        <v>7.7100000000000002E-2</v>
      </c>
      <c r="D1476">
        <f t="shared" si="93"/>
        <v>1999</v>
      </c>
      <c r="E1476" t="str">
        <f t="shared" si="94"/>
        <v>Jul-1999</v>
      </c>
      <c r="F1476" s="12">
        <f t="shared" si="95"/>
        <v>6.36</v>
      </c>
    </row>
    <row r="1477" spans="1:6" x14ac:dyDescent="0.25">
      <c r="A1477" s="1">
        <v>36350</v>
      </c>
      <c r="B1477">
        <v>7.65</v>
      </c>
      <c r="C1477" s="11">
        <f t="shared" si="92"/>
        <v>7.6499999999999999E-2</v>
      </c>
      <c r="D1477">
        <f t="shared" si="93"/>
        <v>1999</v>
      </c>
      <c r="E1477" t="str">
        <f t="shared" si="94"/>
        <v>Jul-1999</v>
      </c>
      <c r="F1477" s="12">
        <f t="shared" si="95"/>
        <v>6.36</v>
      </c>
    </row>
    <row r="1478" spans="1:6" x14ac:dyDescent="0.25">
      <c r="A1478" s="1">
        <v>36357</v>
      </c>
      <c r="B1478">
        <v>7.58</v>
      </c>
      <c r="C1478" s="11">
        <f t="shared" si="92"/>
        <v>7.5800000000000006E-2</v>
      </c>
      <c r="D1478">
        <f t="shared" si="93"/>
        <v>1999</v>
      </c>
      <c r="E1478" t="str">
        <f t="shared" si="94"/>
        <v>Jul-1999</v>
      </c>
      <c r="F1478" s="12">
        <f t="shared" si="95"/>
        <v>6.36</v>
      </c>
    </row>
    <row r="1479" spans="1:6" x14ac:dyDescent="0.25">
      <c r="A1479" s="1">
        <v>36364</v>
      </c>
      <c r="B1479">
        <v>7.52</v>
      </c>
      <c r="C1479" s="11">
        <f t="shared" si="92"/>
        <v>7.5199999999999989E-2</v>
      </c>
      <c r="D1479">
        <f t="shared" si="93"/>
        <v>1999</v>
      </c>
      <c r="E1479" t="str">
        <f t="shared" si="94"/>
        <v>Jul-1999</v>
      </c>
      <c r="F1479" s="12">
        <f t="shared" si="95"/>
        <v>6.36</v>
      </c>
    </row>
    <row r="1480" spans="1:6" x14ac:dyDescent="0.25">
      <c r="A1480" s="1">
        <v>36371</v>
      </c>
      <c r="B1480">
        <v>7.7</v>
      </c>
      <c r="C1480" s="11">
        <f t="shared" si="92"/>
        <v>7.6999999999999999E-2</v>
      </c>
      <c r="D1480">
        <f t="shared" si="93"/>
        <v>1999</v>
      </c>
      <c r="E1480" t="str">
        <f t="shared" si="94"/>
        <v>Jul-1999</v>
      </c>
      <c r="F1480" s="12">
        <f t="shared" si="95"/>
        <v>6.36</v>
      </c>
    </row>
    <row r="1481" spans="1:6" x14ac:dyDescent="0.25">
      <c r="A1481" s="1">
        <v>36378</v>
      </c>
      <c r="B1481">
        <v>7.89</v>
      </c>
      <c r="C1481" s="11">
        <f t="shared" si="92"/>
        <v>7.8899999999999998E-2</v>
      </c>
      <c r="D1481">
        <f t="shared" si="93"/>
        <v>1999</v>
      </c>
      <c r="E1481" t="str">
        <f t="shared" si="94"/>
        <v>Aug-1999</v>
      </c>
      <c r="F1481" s="12">
        <f t="shared" si="95"/>
        <v>6.36</v>
      </c>
    </row>
    <row r="1482" spans="1:6" x14ac:dyDescent="0.25">
      <c r="A1482" s="1">
        <v>36385</v>
      </c>
      <c r="B1482">
        <v>8.15</v>
      </c>
      <c r="C1482" s="11">
        <f t="shared" si="92"/>
        <v>8.1500000000000003E-2</v>
      </c>
      <c r="D1482">
        <f t="shared" si="93"/>
        <v>1999</v>
      </c>
      <c r="E1482" t="str">
        <f t="shared" si="94"/>
        <v>Aug-1999</v>
      </c>
      <c r="F1482" s="12">
        <f t="shared" si="95"/>
        <v>6.36</v>
      </c>
    </row>
    <row r="1483" spans="1:6" x14ac:dyDescent="0.25">
      <c r="A1483" s="1">
        <v>36392</v>
      </c>
      <c r="B1483">
        <v>7.93</v>
      </c>
      <c r="C1483" s="11">
        <f t="shared" si="92"/>
        <v>7.9299999999999995E-2</v>
      </c>
      <c r="D1483">
        <f t="shared" si="93"/>
        <v>1999</v>
      </c>
      <c r="E1483" t="str">
        <f t="shared" si="94"/>
        <v>Aug-1999</v>
      </c>
      <c r="F1483" s="12">
        <f t="shared" si="95"/>
        <v>6.36</v>
      </c>
    </row>
    <row r="1484" spans="1:6" x14ac:dyDescent="0.25">
      <c r="A1484" s="1">
        <v>36399</v>
      </c>
      <c r="B1484">
        <v>7.8</v>
      </c>
      <c r="C1484" s="11">
        <f t="shared" si="92"/>
        <v>7.8E-2</v>
      </c>
      <c r="D1484">
        <f t="shared" si="93"/>
        <v>1999</v>
      </c>
      <c r="E1484" t="str">
        <f t="shared" si="94"/>
        <v>Aug-1999</v>
      </c>
      <c r="F1484" s="12">
        <f t="shared" si="95"/>
        <v>6.36</v>
      </c>
    </row>
    <row r="1485" spans="1:6" x14ac:dyDescent="0.25">
      <c r="A1485" s="1">
        <v>36406</v>
      </c>
      <c r="B1485">
        <v>7.83</v>
      </c>
      <c r="C1485" s="11">
        <f t="shared" si="92"/>
        <v>7.8299999999999995E-2</v>
      </c>
      <c r="D1485">
        <f t="shared" si="93"/>
        <v>1999</v>
      </c>
      <c r="E1485" t="str">
        <f t="shared" si="94"/>
        <v>Sep-1999</v>
      </c>
      <c r="F1485" s="12">
        <f t="shared" si="95"/>
        <v>6.36</v>
      </c>
    </row>
    <row r="1486" spans="1:6" x14ac:dyDescent="0.25">
      <c r="A1486" s="1">
        <v>36413</v>
      </c>
      <c r="B1486">
        <v>7.88</v>
      </c>
      <c r="C1486" s="11">
        <f t="shared" si="92"/>
        <v>7.8799999999999995E-2</v>
      </c>
      <c r="D1486">
        <f t="shared" si="93"/>
        <v>1999</v>
      </c>
      <c r="E1486" t="str">
        <f t="shared" si="94"/>
        <v>Sep-1999</v>
      </c>
      <c r="F1486" s="12">
        <f t="shared" si="95"/>
        <v>6.36</v>
      </c>
    </row>
    <row r="1487" spans="1:6" x14ac:dyDescent="0.25">
      <c r="A1487" s="1">
        <v>36420</v>
      </c>
      <c r="B1487">
        <v>7.82</v>
      </c>
      <c r="C1487" s="11">
        <f t="shared" si="92"/>
        <v>7.8200000000000006E-2</v>
      </c>
      <c r="D1487">
        <f t="shared" si="93"/>
        <v>1999</v>
      </c>
      <c r="E1487" t="str">
        <f t="shared" si="94"/>
        <v>Sep-1999</v>
      </c>
      <c r="F1487" s="12">
        <f t="shared" si="95"/>
        <v>6.36</v>
      </c>
    </row>
    <row r="1488" spans="1:6" x14ac:dyDescent="0.25">
      <c r="A1488" s="1">
        <v>36427</v>
      </c>
      <c r="B1488">
        <v>7.76</v>
      </c>
      <c r="C1488" s="11">
        <f t="shared" si="92"/>
        <v>7.7600000000000002E-2</v>
      </c>
      <c r="D1488">
        <f t="shared" si="93"/>
        <v>1999</v>
      </c>
      <c r="E1488" t="str">
        <f t="shared" si="94"/>
        <v>Sep-1999</v>
      </c>
      <c r="F1488" s="12">
        <f t="shared" si="95"/>
        <v>6.36</v>
      </c>
    </row>
    <row r="1489" spans="1:6" x14ac:dyDescent="0.25">
      <c r="A1489" s="1">
        <v>36434</v>
      </c>
      <c r="B1489">
        <v>7.7</v>
      </c>
      <c r="C1489" s="11">
        <f t="shared" si="92"/>
        <v>7.6999999999999999E-2</v>
      </c>
      <c r="D1489">
        <f t="shared" si="93"/>
        <v>1999</v>
      </c>
      <c r="E1489" t="str">
        <f t="shared" si="94"/>
        <v>Oct-1999</v>
      </c>
      <c r="F1489" s="12">
        <f t="shared" si="95"/>
        <v>6.36</v>
      </c>
    </row>
    <row r="1490" spans="1:6" x14ac:dyDescent="0.25">
      <c r="A1490" s="1">
        <v>36441</v>
      </c>
      <c r="B1490">
        <v>7.82</v>
      </c>
      <c r="C1490" s="11">
        <f t="shared" si="92"/>
        <v>7.8200000000000006E-2</v>
      </c>
      <c r="D1490">
        <f t="shared" si="93"/>
        <v>1999</v>
      </c>
      <c r="E1490" t="str">
        <f t="shared" si="94"/>
        <v>Oct-1999</v>
      </c>
      <c r="F1490" s="12">
        <f t="shared" si="95"/>
        <v>6.36</v>
      </c>
    </row>
    <row r="1491" spans="1:6" x14ac:dyDescent="0.25">
      <c r="A1491" s="1">
        <v>36448</v>
      </c>
      <c r="B1491">
        <v>7.85</v>
      </c>
      <c r="C1491" s="11">
        <f t="shared" si="92"/>
        <v>7.85E-2</v>
      </c>
      <c r="D1491">
        <f t="shared" si="93"/>
        <v>1999</v>
      </c>
      <c r="E1491" t="str">
        <f t="shared" si="94"/>
        <v>Oct-1999</v>
      </c>
      <c r="F1491" s="12">
        <f t="shared" si="95"/>
        <v>6.36</v>
      </c>
    </row>
    <row r="1492" spans="1:6" x14ac:dyDescent="0.25">
      <c r="A1492" s="1">
        <v>36455</v>
      </c>
      <c r="B1492">
        <v>7.93</v>
      </c>
      <c r="C1492" s="11">
        <f t="shared" si="92"/>
        <v>7.9299999999999995E-2</v>
      </c>
      <c r="D1492">
        <f t="shared" si="93"/>
        <v>1999</v>
      </c>
      <c r="E1492" t="str">
        <f t="shared" si="94"/>
        <v>Oct-1999</v>
      </c>
      <c r="F1492" s="12">
        <f t="shared" si="95"/>
        <v>6.36</v>
      </c>
    </row>
    <row r="1493" spans="1:6" x14ac:dyDescent="0.25">
      <c r="A1493" s="1">
        <v>36462</v>
      </c>
      <c r="B1493">
        <v>7.96</v>
      </c>
      <c r="C1493" s="11">
        <f t="shared" si="92"/>
        <v>7.9600000000000004E-2</v>
      </c>
      <c r="D1493">
        <f t="shared" si="93"/>
        <v>1999</v>
      </c>
      <c r="E1493" t="str">
        <f t="shared" si="94"/>
        <v>Oct-1999</v>
      </c>
      <c r="F1493" s="12">
        <f t="shared" si="95"/>
        <v>6.36</v>
      </c>
    </row>
    <row r="1494" spans="1:6" x14ac:dyDescent="0.25">
      <c r="A1494" s="1">
        <v>36469</v>
      </c>
      <c r="B1494">
        <v>7.84</v>
      </c>
      <c r="C1494" s="11">
        <f t="shared" si="92"/>
        <v>7.8399999999999997E-2</v>
      </c>
      <c r="D1494">
        <f t="shared" si="93"/>
        <v>1999</v>
      </c>
      <c r="E1494" t="str">
        <f t="shared" si="94"/>
        <v>Nov-1999</v>
      </c>
      <c r="F1494" s="12">
        <f t="shared" si="95"/>
        <v>6.36</v>
      </c>
    </row>
    <row r="1495" spans="1:6" x14ac:dyDescent="0.25">
      <c r="A1495" s="1">
        <v>36476</v>
      </c>
      <c r="B1495">
        <v>7.67</v>
      </c>
      <c r="C1495" s="11">
        <f t="shared" si="92"/>
        <v>7.6700000000000004E-2</v>
      </c>
      <c r="D1495">
        <f t="shared" si="93"/>
        <v>1999</v>
      </c>
      <c r="E1495" t="str">
        <f t="shared" si="94"/>
        <v>Nov-1999</v>
      </c>
      <c r="F1495" s="12">
        <f t="shared" si="95"/>
        <v>6.36</v>
      </c>
    </row>
    <row r="1496" spans="1:6" x14ac:dyDescent="0.25">
      <c r="A1496" s="1">
        <v>36483</v>
      </c>
      <c r="B1496">
        <v>7.69</v>
      </c>
      <c r="C1496" s="11">
        <f t="shared" si="92"/>
        <v>7.690000000000001E-2</v>
      </c>
      <c r="D1496">
        <f t="shared" si="93"/>
        <v>1999</v>
      </c>
      <c r="E1496" t="str">
        <f t="shared" si="94"/>
        <v>Nov-1999</v>
      </c>
      <c r="F1496" s="12">
        <f t="shared" si="95"/>
        <v>6.36</v>
      </c>
    </row>
    <row r="1497" spans="1:6" x14ac:dyDescent="0.25">
      <c r="A1497" s="1">
        <v>36490</v>
      </c>
      <c r="B1497">
        <v>7.75</v>
      </c>
      <c r="C1497" s="11">
        <f t="shared" si="92"/>
        <v>7.7499999999999999E-2</v>
      </c>
      <c r="D1497">
        <f t="shared" si="93"/>
        <v>1999</v>
      </c>
      <c r="E1497" t="str">
        <f t="shared" si="94"/>
        <v>Nov-1999</v>
      </c>
      <c r="F1497" s="12">
        <f t="shared" si="95"/>
        <v>6.36</v>
      </c>
    </row>
    <row r="1498" spans="1:6" x14ac:dyDescent="0.25">
      <c r="A1498" s="1">
        <v>36497</v>
      </c>
      <c r="B1498">
        <v>7.84</v>
      </c>
      <c r="C1498" s="11">
        <f t="shared" si="92"/>
        <v>7.8399999999999997E-2</v>
      </c>
      <c r="D1498">
        <f t="shared" si="93"/>
        <v>1999</v>
      </c>
      <c r="E1498" t="str">
        <f t="shared" si="94"/>
        <v>Dec-1999</v>
      </c>
      <c r="F1498" s="12">
        <f t="shared" si="95"/>
        <v>6.36</v>
      </c>
    </row>
    <row r="1499" spans="1:6" x14ac:dyDescent="0.25">
      <c r="A1499" s="1">
        <v>36504</v>
      </c>
      <c r="B1499">
        <v>7.84</v>
      </c>
      <c r="C1499" s="11">
        <f t="shared" si="92"/>
        <v>7.8399999999999997E-2</v>
      </c>
      <c r="D1499">
        <f t="shared" si="93"/>
        <v>1999</v>
      </c>
      <c r="E1499" t="str">
        <f t="shared" si="94"/>
        <v>Dec-1999</v>
      </c>
      <c r="F1499" s="12">
        <f t="shared" si="95"/>
        <v>6.36</v>
      </c>
    </row>
    <row r="1500" spans="1:6" x14ac:dyDescent="0.25">
      <c r="A1500" s="1">
        <v>36511</v>
      </c>
      <c r="B1500">
        <v>7.86</v>
      </c>
      <c r="C1500" s="11">
        <f t="shared" si="92"/>
        <v>7.8600000000000003E-2</v>
      </c>
      <c r="D1500">
        <f t="shared" si="93"/>
        <v>1999</v>
      </c>
      <c r="E1500" t="str">
        <f t="shared" si="94"/>
        <v>Dec-1999</v>
      </c>
      <c r="F1500" s="12">
        <f t="shared" si="95"/>
        <v>6.36</v>
      </c>
    </row>
    <row r="1501" spans="1:6" x14ac:dyDescent="0.25">
      <c r="A1501" s="1">
        <v>36518</v>
      </c>
      <c r="B1501">
        <v>7.96</v>
      </c>
      <c r="C1501" s="11">
        <f t="shared" si="92"/>
        <v>7.9600000000000004E-2</v>
      </c>
      <c r="D1501">
        <f t="shared" si="93"/>
        <v>1999</v>
      </c>
      <c r="E1501" t="str">
        <f t="shared" si="94"/>
        <v>Dec-1999</v>
      </c>
      <c r="F1501" s="12">
        <f t="shared" si="95"/>
        <v>6.36</v>
      </c>
    </row>
    <row r="1502" spans="1:6" x14ac:dyDescent="0.25">
      <c r="A1502" s="1">
        <v>36525</v>
      </c>
      <c r="B1502">
        <v>8.06</v>
      </c>
      <c r="C1502" s="11">
        <f t="shared" si="92"/>
        <v>8.0600000000000005E-2</v>
      </c>
      <c r="D1502">
        <f t="shared" si="93"/>
        <v>1999</v>
      </c>
      <c r="E1502" t="str">
        <f t="shared" si="94"/>
        <v>Dec-1999</v>
      </c>
      <c r="F1502" s="12">
        <f t="shared" si="95"/>
        <v>6.36</v>
      </c>
    </row>
    <row r="1503" spans="1:6" x14ac:dyDescent="0.25">
      <c r="A1503" s="1">
        <v>36532</v>
      </c>
      <c r="B1503">
        <v>8.15</v>
      </c>
      <c r="C1503" s="11">
        <f t="shared" si="92"/>
        <v>8.1500000000000003E-2</v>
      </c>
      <c r="D1503">
        <f t="shared" si="93"/>
        <v>2000</v>
      </c>
      <c r="E1503" t="str">
        <f t="shared" si="94"/>
        <v>Jan-2000</v>
      </c>
      <c r="F1503" s="12">
        <f t="shared" si="95"/>
        <v>6.36</v>
      </c>
    </row>
    <row r="1504" spans="1:6" x14ac:dyDescent="0.25">
      <c r="A1504" s="1">
        <v>36539</v>
      </c>
      <c r="B1504">
        <v>8.18</v>
      </c>
      <c r="C1504" s="11">
        <f t="shared" si="92"/>
        <v>8.1799999999999998E-2</v>
      </c>
      <c r="D1504">
        <f t="shared" si="93"/>
        <v>2000</v>
      </c>
      <c r="E1504" t="str">
        <f t="shared" si="94"/>
        <v>Jan-2000</v>
      </c>
      <c r="F1504" s="12">
        <f t="shared" si="95"/>
        <v>6.36</v>
      </c>
    </row>
    <row r="1505" spans="1:6" x14ac:dyDescent="0.25">
      <c r="A1505" s="1">
        <v>36546</v>
      </c>
      <c r="B1505">
        <v>8.26</v>
      </c>
      <c r="C1505" s="11">
        <f t="shared" si="92"/>
        <v>8.2599999999999993E-2</v>
      </c>
      <c r="D1505">
        <f t="shared" si="93"/>
        <v>2000</v>
      </c>
      <c r="E1505" t="str">
        <f t="shared" si="94"/>
        <v>Jan-2000</v>
      </c>
      <c r="F1505" s="12">
        <f t="shared" si="95"/>
        <v>6.36</v>
      </c>
    </row>
    <row r="1506" spans="1:6" x14ac:dyDescent="0.25">
      <c r="A1506" s="1">
        <v>36553</v>
      </c>
      <c r="B1506">
        <v>8.25</v>
      </c>
      <c r="C1506" s="11">
        <f t="shared" si="92"/>
        <v>8.2500000000000004E-2</v>
      </c>
      <c r="D1506">
        <f t="shared" si="93"/>
        <v>2000</v>
      </c>
      <c r="E1506" t="str">
        <f t="shared" si="94"/>
        <v>Jan-2000</v>
      </c>
      <c r="F1506" s="12">
        <f t="shared" si="95"/>
        <v>6.36</v>
      </c>
    </row>
    <row r="1507" spans="1:6" x14ac:dyDescent="0.25">
      <c r="A1507" s="1">
        <v>36560</v>
      </c>
      <c r="B1507">
        <v>8.25</v>
      </c>
      <c r="C1507" s="11">
        <f t="shared" si="92"/>
        <v>8.2500000000000004E-2</v>
      </c>
      <c r="D1507">
        <f t="shared" si="93"/>
        <v>2000</v>
      </c>
      <c r="E1507" t="str">
        <f t="shared" si="94"/>
        <v>Feb-2000</v>
      </c>
      <c r="F1507" s="12">
        <f t="shared" si="95"/>
        <v>6.36</v>
      </c>
    </row>
    <row r="1508" spans="1:6" x14ac:dyDescent="0.25">
      <c r="A1508" s="1">
        <v>36567</v>
      </c>
      <c r="B1508">
        <v>8.36</v>
      </c>
      <c r="C1508" s="11">
        <f t="shared" si="92"/>
        <v>8.3599999999999994E-2</v>
      </c>
      <c r="D1508">
        <f t="shared" si="93"/>
        <v>2000</v>
      </c>
      <c r="E1508" t="str">
        <f t="shared" si="94"/>
        <v>Feb-2000</v>
      </c>
      <c r="F1508" s="12">
        <f t="shared" si="95"/>
        <v>6.36</v>
      </c>
    </row>
    <row r="1509" spans="1:6" x14ac:dyDescent="0.25">
      <c r="A1509" s="1">
        <v>36574</v>
      </c>
      <c r="B1509">
        <v>8.3800000000000008</v>
      </c>
      <c r="C1509" s="11">
        <f t="shared" si="92"/>
        <v>8.3800000000000013E-2</v>
      </c>
      <c r="D1509">
        <f t="shared" si="93"/>
        <v>2000</v>
      </c>
      <c r="E1509" t="str">
        <f t="shared" si="94"/>
        <v>Feb-2000</v>
      </c>
      <c r="F1509" s="12">
        <f t="shared" si="95"/>
        <v>6.36</v>
      </c>
    </row>
    <row r="1510" spans="1:6" x14ac:dyDescent="0.25">
      <c r="A1510" s="1">
        <v>36581</v>
      </c>
      <c r="B1510">
        <v>8.31</v>
      </c>
      <c r="C1510" s="11">
        <f t="shared" si="92"/>
        <v>8.3100000000000007E-2</v>
      </c>
      <c r="D1510">
        <f t="shared" si="93"/>
        <v>2000</v>
      </c>
      <c r="E1510" t="str">
        <f t="shared" si="94"/>
        <v>Feb-2000</v>
      </c>
      <c r="F1510" s="12">
        <f t="shared" si="95"/>
        <v>6.36</v>
      </c>
    </row>
    <row r="1511" spans="1:6" x14ac:dyDescent="0.25">
      <c r="A1511" s="1">
        <v>36588</v>
      </c>
      <c r="B1511">
        <v>8.27</v>
      </c>
      <c r="C1511" s="11">
        <f t="shared" si="92"/>
        <v>8.2699999999999996E-2</v>
      </c>
      <c r="D1511">
        <f t="shared" si="93"/>
        <v>2000</v>
      </c>
      <c r="E1511" t="str">
        <f t="shared" si="94"/>
        <v>Mar-2000</v>
      </c>
      <c r="F1511" s="12">
        <f t="shared" si="95"/>
        <v>6.36</v>
      </c>
    </row>
    <row r="1512" spans="1:6" x14ac:dyDescent="0.25">
      <c r="A1512" s="1">
        <v>36595</v>
      </c>
      <c r="B1512">
        <v>8.23</v>
      </c>
      <c r="C1512" s="11">
        <f t="shared" si="92"/>
        <v>8.2299999999999998E-2</v>
      </c>
      <c r="D1512">
        <f t="shared" si="93"/>
        <v>2000</v>
      </c>
      <c r="E1512" t="str">
        <f t="shared" si="94"/>
        <v>Mar-2000</v>
      </c>
      <c r="F1512" s="12">
        <f t="shared" si="95"/>
        <v>6.36</v>
      </c>
    </row>
    <row r="1513" spans="1:6" x14ac:dyDescent="0.25">
      <c r="A1513" s="1">
        <v>36602</v>
      </c>
      <c r="B1513">
        <v>8.24</v>
      </c>
      <c r="C1513" s="11">
        <f t="shared" si="92"/>
        <v>8.2400000000000001E-2</v>
      </c>
      <c r="D1513">
        <f t="shared" si="93"/>
        <v>2000</v>
      </c>
      <c r="E1513" t="str">
        <f t="shared" si="94"/>
        <v>Mar-2000</v>
      </c>
      <c r="F1513" s="12">
        <f t="shared" si="95"/>
        <v>6.36</v>
      </c>
    </row>
    <row r="1514" spans="1:6" x14ac:dyDescent="0.25">
      <c r="A1514" s="1">
        <v>36609</v>
      </c>
      <c r="B1514">
        <v>8.23</v>
      </c>
      <c r="C1514" s="11">
        <f t="shared" si="92"/>
        <v>8.2299999999999998E-2</v>
      </c>
      <c r="D1514">
        <f t="shared" si="93"/>
        <v>2000</v>
      </c>
      <c r="E1514" t="str">
        <f t="shared" si="94"/>
        <v>Mar-2000</v>
      </c>
      <c r="F1514" s="12">
        <f t="shared" si="95"/>
        <v>6.36</v>
      </c>
    </row>
    <row r="1515" spans="1:6" x14ac:dyDescent="0.25">
      <c r="A1515" s="1">
        <v>36616</v>
      </c>
      <c r="B1515">
        <v>8.23</v>
      </c>
      <c r="C1515" s="11">
        <f t="shared" si="92"/>
        <v>8.2299999999999998E-2</v>
      </c>
      <c r="D1515">
        <f t="shared" si="93"/>
        <v>2000</v>
      </c>
      <c r="E1515" t="str">
        <f t="shared" si="94"/>
        <v>Mar-2000</v>
      </c>
      <c r="F1515" s="12">
        <f t="shared" si="95"/>
        <v>6.36</v>
      </c>
    </row>
    <row r="1516" spans="1:6" x14ac:dyDescent="0.25">
      <c r="A1516" s="1">
        <v>36623</v>
      </c>
      <c r="B1516">
        <v>8.1999999999999993</v>
      </c>
      <c r="C1516" s="11">
        <f t="shared" si="92"/>
        <v>8.199999999999999E-2</v>
      </c>
      <c r="D1516">
        <f t="shared" si="93"/>
        <v>2000</v>
      </c>
      <c r="E1516" t="str">
        <f t="shared" si="94"/>
        <v>Apr-2000</v>
      </c>
      <c r="F1516" s="12">
        <f t="shared" si="95"/>
        <v>6.36</v>
      </c>
    </row>
    <row r="1517" spans="1:6" x14ac:dyDescent="0.25">
      <c r="A1517" s="1">
        <v>36630</v>
      </c>
      <c r="B1517">
        <v>8.1199999999999992</v>
      </c>
      <c r="C1517" s="11">
        <f t="shared" si="92"/>
        <v>8.1199999999999994E-2</v>
      </c>
      <c r="D1517">
        <f t="shared" si="93"/>
        <v>2000</v>
      </c>
      <c r="E1517" t="str">
        <f t="shared" si="94"/>
        <v>Apr-2000</v>
      </c>
      <c r="F1517" s="12">
        <f t="shared" si="95"/>
        <v>6.36</v>
      </c>
    </row>
    <row r="1518" spans="1:6" x14ac:dyDescent="0.25">
      <c r="A1518" s="1">
        <v>36637</v>
      </c>
      <c r="B1518">
        <v>8.16</v>
      </c>
      <c r="C1518" s="11">
        <f t="shared" si="92"/>
        <v>8.1600000000000006E-2</v>
      </c>
      <c r="D1518">
        <f t="shared" si="93"/>
        <v>2000</v>
      </c>
      <c r="E1518" t="str">
        <f t="shared" si="94"/>
        <v>Apr-2000</v>
      </c>
      <c r="F1518" s="12">
        <f t="shared" si="95"/>
        <v>6.36</v>
      </c>
    </row>
    <row r="1519" spans="1:6" x14ac:dyDescent="0.25">
      <c r="A1519" s="1">
        <v>36644</v>
      </c>
      <c r="B1519">
        <v>8.1300000000000008</v>
      </c>
      <c r="C1519" s="11">
        <f t="shared" si="92"/>
        <v>8.1300000000000011E-2</v>
      </c>
      <c r="D1519">
        <f t="shared" si="93"/>
        <v>2000</v>
      </c>
      <c r="E1519" t="str">
        <f t="shared" si="94"/>
        <v>Apr-2000</v>
      </c>
      <c r="F1519" s="12">
        <f t="shared" si="95"/>
        <v>6.36</v>
      </c>
    </row>
    <row r="1520" spans="1:6" x14ac:dyDescent="0.25">
      <c r="A1520" s="1">
        <v>36651</v>
      </c>
      <c r="B1520">
        <v>8.2799999999999994</v>
      </c>
      <c r="C1520" s="11">
        <f t="shared" si="92"/>
        <v>8.2799999999999999E-2</v>
      </c>
      <c r="D1520">
        <f t="shared" si="93"/>
        <v>2000</v>
      </c>
      <c r="E1520" t="str">
        <f t="shared" si="94"/>
        <v>May-2000</v>
      </c>
      <c r="F1520" s="12">
        <f t="shared" si="95"/>
        <v>6.36</v>
      </c>
    </row>
    <row r="1521" spans="1:6" x14ac:dyDescent="0.25">
      <c r="A1521" s="1">
        <v>36658</v>
      </c>
      <c r="B1521">
        <v>8.52</v>
      </c>
      <c r="C1521" s="11">
        <f t="shared" si="92"/>
        <v>8.5199999999999998E-2</v>
      </c>
      <c r="D1521">
        <f t="shared" si="93"/>
        <v>2000</v>
      </c>
      <c r="E1521" t="str">
        <f t="shared" si="94"/>
        <v>May-2000</v>
      </c>
      <c r="F1521" s="12">
        <f t="shared" si="95"/>
        <v>6.36</v>
      </c>
    </row>
    <row r="1522" spans="1:6" x14ac:dyDescent="0.25">
      <c r="A1522" s="1">
        <v>36665</v>
      </c>
      <c r="B1522">
        <v>8.64</v>
      </c>
      <c r="C1522" s="11">
        <f t="shared" si="92"/>
        <v>8.6400000000000005E-2</v>
      </c>
      <c r="D1522">
        <f t="shared" si="93"/>
        <v>2000</v>
      </c>
      <c r="E1522" t="str">
        <f t="shared" si="94"/>
        <v>May-2000</v>
      </c>
      <c r="F1522" s="12">
        <f t="shared" si="95"/>
        <v>6.36</v>
      </c>
    </row>
    <row r="1523" spans="1:6" x14ac:dyDescent="0.25">
      <c r="A1523" s="1">
        <v>36672</v>
      </c>
      <c r="B1523">
        <v>8.6199999999999992</v>
      </c>
      <c r="C1523" s="11">
        <f t="shared" si="92"/>
        <v>8.6199999999999999E-2</v>
      </c>
      <c r="D1523">
        <f t="shared" si="93"/>
        <v>2000</v>
      </c>
      <c r="E1523" t="str">
        <f t="shared" si="94"/>
        <v>May-2000</v>
      </c>
      <c r="F1523" s="12">
        <f t="shared" si="95"/>
        <v>6.36</v>
      </c>
    </row>
    <row r="1524" spans="1:6" x14ac:dyDescent="0.25">
      <c r="A1524" s="1">
        <v>36679</v>
      </c>
      <c r="B1524">
        <v>8.5399999999999991</v>
      </c>
      <c r="C1524" s="11">
        <f t="shared" si="92"/>
        <v>8.539999999999999E-2</v>
      </c>
      <c r="D1524">
        <f t="shared" si="93"/>
        <v>2000</v>
      </c>
      <c r="E1524" t="str">
        <f t="shared" si="94"/>
        <v>Jun-2000</v>
      </c>
      <c r="F1524" s="12">
        <f t="shared" si="95"/>
        <v>6.36</v>
      </c>
    </row>
    <row r="1525" spans="1:6" x14ac:dyDescent="0.25">
      <c r="A1525" s="1">
        <v>36686</v>
      </c>
      <c r="B1525">
        <v>8.32</v>
      </c>
      <c r="C1525" s="11">
        <f t="shared" si="92"/>
        <v>8.3199999999999996E-2</v>
      </c>
      <c r="D1525">
        <f t="shared" si="93"/>
        <v>2000</v>
      </c>
      <c r="E1525" t="str">
        <f t="shared" si="94"/>
        <v>Jun-2000</v>
      </c>
      <c r="F1525" s="12">
        <f t="shared" si="95"/>
        <v>6.36</v>
      </c>
    </row>
    <row r="1526" spans="1:6" x14ac:dyDescent="0.25">
      <c r="A1526" s="1">
        <v>36693</v>
      </c>
      <c r="B1526">
        <v>8.2200000000000006</v>
      </c>
      <c r="C1526" s="11">
        <f t="shared" si="92"/>
        <v>8.2200000000000009E-2</v>
      </c>
      <c r="D1526">
        <f t="shared" si="93"/>
        <v>2000</v>
      </c>
      <c r="E1526" t="str">
        <f t="shared" si="94"/>
        <v>Jun-2000</v>
      </c>
      <c r="F1526" s="12">
        <f t="shared" si="95"/>
        <v>6.36</v>
      </c>
    </row>
    <row r="1527" spans="1:6" x14ac:dyDescent="0.25">
      <c r="A1527" s="1">
        <v>36700</v>
      </c>
      <c r="B1527">
        <v>8.14</v>
      </c>
      <c r="C1527" s="11">
        <f t="shared" si="92"/>
        <v>8.14E-2</v>
      </c>
      <c r="D1527">
        <f t="shared" si="93"/>
        <v>2000</v>
      </c>
      <c r="E1527" t="str">
        <f t="shared" si="94"/>
        <v>Jun-2000</v>
      </c>
      <c r="F1527" s="12">
        <f t="shared" si="95"/>
        <v>6.36</v>
      </c>
    </row>
    <row r="1528" spans="1:6" x14ac:dyDescent="0.25">
      <c r="A1528" s="1">
        <v>36707</v>
      </c>
      <c r="B1528">
        <v>8.2200000000000006</v>
      </c>
      <c r="C1528" s="11">
        <f t="shared" si="92"/>
        <v>8.2200000000000009E-2</v>
      </c>
      <c r="D1528">
        <f t="shared" si="93"/>
        <v>2000</v>
      </c>
      <c r="E1528" t="str">
        <f t="shared" si="94"/>
        <v>Jun-2000</v>
      </c>
      <c r="F1528" s="12">
        <f t="shared" si="95"/>
        <v>6.36</v>
      </c>
    </row>
    <row r="1529" spans="1:6" x14ac:dyDescent="0.25">
      <c r="A1529" s="1">
        <v>36714</v>
      </c>
      <c r="B1529">
        <v>8.16</v>
      </c>
      <c r="C1529" s="11">
        <f t="shared" si="92"/>
        <v>8.1600000000000006E-2</v>
      </c>
      <c r="D1529">
        <f t="shared" si="93"/>
        <v>2000</v>
      </c>
      <c r="E1529" t="str">
        <f t="shared" si="94"/>
        <v>Jul-2000</v>
      </c>
      <c r="F1529" s="12">
        <f t="shared" si="95"/>
        <v>6.36</v>
      </c>
    </row>
    <row r="1530" spans="1:6" x14ac:dyDescent="0.25">
      <c r="A1530" s="1">
        <v>36721</v>
      </c>
      <c r="B1530">
        <v>8.09</v>
      </c>
      <c r="C1530" s="11">
        <f t="shared" si="92"/>
        <v>8.09E-2</v>
      </c>
      <c r="D1530">
        <f t="shared" si="93"/>
        <v>2000</v>
      </c>
      <c r="E1530" t="str">
        <f t="shared" si="94"/>
        <v>Jul-2000</v>
      </c>
      <c r="F1530" s="12">
        <f t="shared" si="95"/>
        <v>6.36</v>
      </c>
    </row>
    <row r="1531" spans="1:6" x14ac:dyDescent="0.25">
      <c r="A1531" s="1">
        <v>36728</v>
      </c>
      <c r="B1531">
        <v>8.2100000000000009</v>
      </c>
      <c r="C1531" s="11">
        <f t="shared" si="92"/>
        <v>8.2100000000000006E-2</v>
      </c>
      <c r="D1531">
        <f t="shared" si="93"/>
        <v>2000</v>
      </c>
      <c r="E1531" t="str">
        <f t="shared" si="94"/>
        <v>Jul-2000</v>
      </c>
      <c r="F1531" s="12">
        <f t="shared" si="95"/>
        <v>6.36</v>
      </c>
    </row>
    <row r="1532" spans="1:6" x14ac:dyDescent="0.25">
      <c r="A1532" s="1">
        <v>36735</v>
      </c>
      <c r="B1532">
        <v>8.1300000000000008</v>
      </c>
      <c r="C1532" s="11">
        <f t="shared" si="92"/>
        <v>8.1300000000000011E-2</v>
      </c>
      <c r="D1532">
        <f t="shared" si="93"/>
        <v>2000</v>
      </c>
      <c r="E1532" t="str">
        <f t="shared" si="94"/>
        <v>Jul-2000</v>
      </c>
      <c r="F1532" s="12">
        <f t="shared" si="95"/>
        <v>6.36</v>
      </c>
    </row>
    <row r="1533" spans="1:6" x14ac:dyDescent="0.25">
      <c r="A1533" s="1">
        <v>36742</v>
      </c>
      <c r="B1533">
        <v>8.1199999999999992</v>
      </c>
      <c r="C1533" s="11">
        <f t="shared" si="92"/>
        <v>8.1199999999999994E-2</v>
      </c>
      <c r="D1533">
        <f t="shared" si="93"/>
        <v>2000</v>
      </c>
      <c r="E1533" t="str">
        <f t="shared" si="94"/>
        <v>Aug-2000</v>
      </c>
      <c r="F1533" s="12">
        <f t="shared" si="95"/>
        <v>6.36</v>
      </c>
    </row>
    <row r="1534" spans="1:6" x14ac:dyDescent="0.25">
      <c r="A1534" s="1">
        <v>36749</v>
      </c>
      <c r="B1534">
        <v>8.0399999999999991</v>
      </c>
      <c r="C1534" s="11">
        <f t="shared" si="92"/>
        <v>8.0399999999999985E-2</v>
      </c>
      <c r="D1534">
        <f t="shared" si="93"/>
        <v>2000</v>
      </c>
      <c r="E1534" t="str">
        <f t="shared" si="94"/>
        <v>Aug-2000</v>
      </c>
      <c r="F1534" s="12">
        <f t="shared" si="95"/>
        <v>6.36</v>
      </c>
    </row>
    <row r="1535" spans="1:6" x14ac:dyDescent="0.25">
      <c r="A1535" s="1">
        <v>36756</v>
      </c>
      <c r="B1535">
        <v>7.96</v>
      </c>
      <c r="C1535" s="11">
        <f t="shared" si="92"/>
        <v>7.9600000000000004E-2</v>
      </c>
      <c r="D1535">
        <f t="shared" si="93"/>
        <v>2000</v>
      </c>
      <c r="E1535" t="str">
        <f t="shared" si="94"/>
        <v>Aug-2000</v>
      </c>
      <c r="F1535" s="12">
        <f t="shared" si="95"/>
        <v>6.36</v>
      </c>
    </row>
    <row r="1536" spans="1:6" x14ac:dyDescent="0.25">
      <c r="A1536" s="1">
        <v>36763</v>
      </c>
      <c r="B1536">
        <v>7.99</v>
      </c>
      <c r="C1536" s="11">
        <f t="shared" si="92"/>
        <v>7.9899999999999999E-2</v>
      </c>
      <c r="D1536">
        <f t="shared" si="93"/>
        <v>2000</v>
      </c>
      <c r="E1536" t="str">
        <f t="shared" si="94"/>
        <v>Aug-2000</v>
      </c>
      <c r="F1536" s="12">
        <f t="shared" si="95"/>
        <v>6.36</v>
      </c>
    </row>
    <row r="1537" spans="1:6" x14ac:dyDescent="0.25">
      <c r="A1537" s="1">
        <v>36770</v>
      </c>
      <c r="B1537">
        <v>7.96</v>
      </c>
      <c r="C1537" s="11">
        <f t="shared" si="92"/>
        <v>7.9600000000000004E-2</v>
      </c>
      <c r="D1537">
        <f t="shared" si="93"/>
        <v>2000</v>
      </c>
      <c r="E1537" t="str">
        <f t="shared" si="94"/>
        <v>Sep-2000</v>
      </c>
      <c r="F1537" s="12">
        <f t="shared" si="95"/>
        <v>6.36</v>
      </c>
    </row>
    <row r="1538" spans="1:6" x14ac:dyDescent="0.25">
      <c r="A1538" s="1">
        <v>36777</v>
      </c>
      <c r="B1538">
        <v>7.94</v>
      </c>
      <c r="C1538" s="11">
        <f t="shared" ref="C1538:C1601" si="96">B1538/100</f>
        <v>7.9399999999999998E-2</v>
      </c>
      <c r="D1538">
        <f t="shared" ref="D1538:D1601" si="97">YEAR(A1538)</f>
        <v>2000</v>
      </c>
      <c r="E1538" t="str">
        <f t="shared" ref="E1538:E1601" si="98">TEXT(A1538,"MMM-YYYY")</f>
        <v>Sep-2000</v>
      </c>
      <c r="F1538" s="12">
        <f t="shared" ref="F1538:F1601" si="99">$H$2</f>
        <v>6.36</v>
      </c>
    </row>
    <row r="1539" spans="1:6" x14ac:dyDescent="0.25">
      <c r="A1539" s="1">
        <v>36784</v>
      </c>
      <c r="B1539">
        <v>7.88</v>
      </c>
      <c r="C1539" s="11">
        <f t="shared" si="96"/>
        <v>7.8799999999999995E-2</v>
      </c>
      <c r="D1539">
        <f t="shared" si="97"/>
        <v>2000</v>
      </c>
      <c r="E1539" t="str">
        <f t="shared" si="98"/>
        <v>Sep-2000</v>
      </c>
      <c r="F1539" s="12">
        <f t="shared" si="99"/>
        <v>6.36</v>
      </c>
    </row>
    <row r="1540" spans="1:6" x14ac:dyDescent="0.25">
      <c r="A1540" s="1">
        <v>36791</v>
      </c>
      <c r="B1540">
        <v>7.9</v>
      </c>
      <c r="C1540" s="11">
        <f t="shared" si="96"/>
        <v>7.9000000000000001E-2</v>
      </c>
      <c r="D1540">
        <f t="shared" si="97"/>
        <v>2000</v>
      </c>
      <c r="E1540" t="str">
        <f t="shared" si="98"/>
        <v>Sep-2000</v>
      </c>
      <c r="F1540" s="12">
        <f t="shared" si="99"/>
        <v>6.36</v>
      </c>
    </row>
    <row r="1541" spans="1:6" x14ac:dyDescent="0.25">
      <c r="A1541" s="1">
        <v>36798</v>
      </c>
      <c r="B1541">
        <v>7.88</v>
      </c>
      <c r="C1541" s="11">
        <f t="shared" si="96"/>
        <v>7.8799999999999995E-2</v>
      </c>
      <c r="D1541">
        <f t="shared" si="97"/>
        <v>2000</v>
      </c>
      <c r="E1541" t="str">
        <f t="shared" si="98"/>
        <v>Sep-2000</v>
      </c>
      <c r="F1541" s="12">
        <f t="shared" si="99"/>
        <v>6.36</v>
      </c>
    </row>
    <row r="1542" spans="1:6" x14ac:dyDescent="0.25">
      <c r="A1542" s="1">
        <v>36805</v>
      </c>
      <c r="B1542">
        <v>7.83</v>
      </c>
      <c r="C1542" s="11">
        <f t="shared" si="96"/>
        <v>7.8299999999999995E-2</v>
      </c>
      <c r="D1542">
        <f t="shared" si="97"/>
        <v>2000</v>
      </c>
      <c r="E1542" t="str">
        <f t="shared" si="98"/>
        <v>Oct-2000</v>
      </c>
      <c r="F1542" s="12">
        <f t="shared" si="99"/>
        <v>6.36</v>
      </c>
    </row>
    <row r="1543" spans="1:6" x14ac:dyDescent="0.25">
      <c r="A1543" s="1">
        <v>36812</v>
      </c>
      <c r="B1543">
        <v>7.84</v>
      </c>
      <c r="C1543" s="11">
        <f t="shared" si="96"/>
        <v>7.8399999999999997E-2</v>
      </c>
      <c r="D1543">
        <f t="shared" si="97"/>
        <v>2000</v>
      </c>
      <c r="E1543" t="str">
        <f t="shared" si="98"/>
        <v>Oct-2000</v>
      </c>
      <c r="F1543" s="12">
        <f t="shared" si="99"/>
        <v>6.36</v>
      </c>
    </row>
    <row r="1544" spans="1:6" x14ac:dyDescent="0.25">
      <c r="A1544" s="1">
        <v>36819</v>
      </c>
      <c r="B1544">
        <v>7.83</v>
      </c>
      <c r="C1544" s="11">
        <f t="shared" si="96"/>
        <v>7.8299999999999995E-2</v>
      </c>
      <c r="D1544">
        <f t="shared" si="97"/>
        <v>2000</v>
      </c>
      <c r="E1544" t="str">
        <f t="shared" si="98"/>
        <v>Oct-2000</v>
      </c>
      <c r="F1544" s="12">
        <f t="shared" si="99"/>
        <v>6.36</v>
      </c>
    </row>
    <row r="1545" spans="1:6" x14ac:dyDescent="0.25">
      <c r="A1545" s="1">
        <v>36826</v>
      </c>
      <c r="B1545">
        <v>7.68</v>
      </c>
      <c r="C1545" s="11">
        <f t="shared" si="96"/>
        <v>7.6799999999999993E-2</v>
      </c>
      <c r="D1545">
        <f t="shared" si="97"/>
        <v>2000</v>
      </c>
      <c r="E1545" t="str">
        <f t="shared" si="98"/>
        <v>Oct-2000</v>
      </c>
      <c r="F1545" s="12">
        <f t="shared" si="99"/>
        <v>6.36</v>
      </c>
    </row>
    <row r="1546" spans="1:6" x14ac:dyDescent="0.25">
      <c r="A1546" s="1">
        <v>36833</v>
      </c>
      <c r="B1546">
        <v>7.73</v>
      </c>
      <c r="C1546" s="11">
        <f t="shared" si="96"/>
        <v>7.7300000000000008E-2</v>
      </c>
      <c r="D1546">
        <f t="shared" si="97"/>
        <v>2000</v>
      </c>
      <c r="E1546" t="str">
        <f t="shared" si="98"/>
        <v>Nov-2000</v>
      </c>
      <c r="F1546" s="12">
        <f t="shared" si="99"/>
        <v>6.36</v>
      </c>
    </row>
    <row r="1547" spans="1:6" x14ac:dyDescent="0.25">
      <c r="A1547" s="1">
        <v>36840</v>
      </c>
      <c r="B1547">
        <v>7.79</v>
      </c>
      <c r="C1547" s="11">
        <f t="shared" si="96"/>
        <v>7.7899999999999997E-2</v>
      </c>
      <c r="D1547">
        <f t="shared" si="97"/>
        <v>2000</v>
      </c>
      <c r="E1547" t="str">
        <f t="shared" si="98"/>
        <v>Nov-2000</v>
      </c>
      <c r="F1547" s="12">
        <f t="shared" si="99"/>
        <v>6.36</v>
      </c>
    </row>
    <row r="1548" spans="1:6" x14ac:dyDescent="0.25">
      <c r="A1548" s="1">
        <v>36847</v>
      </c>
      <c r="B1548">
        <v>7.73</v>
      </c>
      <c r="C1548" s="11">
        <f t="shared" si="96"/>
        <v>7.7300000000000008E-2</v>
      </c>
      <c r="D1548">
        <f t="shared" si="97"/>
        <v>2000</v>
      </c>
      <c r="E1548" t="str">
        <f t="shared" si="98"/>
        <v>Nov-2000</v>
      </c>
      <c r="F1548" s="12">
        <f t="shared" si="99"/>
        <v>6.36</v>
      </c>
    </row>
    <row r="1549" spans="1:6" x14ac:dyDescent="0.25">
      <c r="A1549" s="1">
        <v>36854</v>
      </c>
      <c r="B1549">
        <v>7.73</v>
      </c>
      <c r="C1549" s="11">
        <f t="shared" si="96"/>
        <v>7.7300000000000008E-2</v>
      </c>
      <c r="D1549">
        <f t="shared" si="97"/>
        <v>2000</v>
      </c>
      <c r="E1549" t="str">
        <f t="shared" si="98"/>
        <v>Nov-2000</v>
      </c>
      <c r="F1549" s="12">
        <f t="shared" si="99"/>
        <v>6.36</v>
      </c>
    </row>
    <row r="1550" spans="1:6" x14ac:dyDescent="0.25">
      <c r="A1550" s="1">
        <v>36861</v>
      </c>
      <c r="B1550">
        <v>7.65</v>
      </c>
      <c r="C1550" s="11">
        <f t="shared" si="96"/>
        <v>7.6499999999999999E-2</v>
      </c>
      <c r="D1550">
        <f t="shared" si="97"/>
        <v>2000</v>
      </c>
      <c r="E1550" t="str">
        <f t="shared" si="98"/>
        <v>Dec-2000</v>
      </c>
      <c r="F1550" s="12">
        <f t="shared" si="99"/>
        <v>6.36</v>
      </c>
    </row>
    <row r="1551" spans="1:6" x14ac:dyDescent="0.25">
      <c r="A1551" s="1">
        <v>36868</v>
      </c>
      <c r="B1551">
        <v>7.54</v>
      </c>
      <c r="C1551" s="11">
        <f t="shared" si="96"/>
        <v>7.5399999999999995E-2</v>
      </c>
      <c r="D1551">
        <f t="shared" si="97"/>
        <v>2000</v>
      </c>
      <c r="E1551" t="str">
        <f t="shared" si="98"/>
        <v>Dec-2000</v>
      </c>
      <c r="F1551" s="12">
        <f t="shared" si="99"/>
        <v>6.36</v>
      </c>
    </row>
    <row r="1552" spans="1:6" x14ac:dyDescent="0.25">
      <c r="A1552" s="1">
        <v>36875</v>
      </c>
      <c r="B1552">
        <v>7.42</v>
      </c>
      <c r="C1552" s="11">
        <f t="shared" si="96"/>
        <v>7.4200000000000002E-2</v>
      </c>
      <c r="D1552">
        <f t="shared" si="97"/>
        <v>2000</v>
      </c>
      <c r="E1552" t="str">
        <f t="shared" si="98"/>
        <v>Dec-2000</v>
      </c>
      <c r="F1552" s="12">
        <f t="shared" si="99"/>
        <v>6.36</v>
      </c>
    </row>
    <row r="1553" spans="1:6" x14ac:dyDescent="0.25">
      <c r="A1553" s="1">
        <v>36882</v>
      </c>
      <c r="B1553">
        <v>7.17</v>
      </c>
      <c r="C1553" s="11">
        <f t="shared" si="96"/>
        <v>7.17E-2</v>
      </c>
      <c r="D1553">
        <f t="shared" si="97"/>
        <v>2000</v>
      </c>
      <c r="E1553" t="str">
        <f t="shared" si="98"/>
        <v>Dec-2000</v>
      </c>
      <c r="F1553" s="12">
        <f t="shared" si="99"/>
        <v>6.36</v>
      </c>
    </row>
    <row r="1554" spans="1:6" x14ac:dyDescent="0.25">
      <c r="A1554" s="1">
        <v>36889</v>
      </c>
      <c r="B1554">
        <v>7.13</v>
      </c>
      <c r="C1554" s="11">
        <f t="shared" si="96"/>
        <v>7.1300000000000002E-2</v>
      </c>
      <c r="D1554">
        <f t="shared" si="97"/>
        <v>2000</v>
      </c>
      <c r="E1554" t="str">
        <f t="shared" si="98"/>
        <v>Dec-2000</v>
      </c>
      <c r="F1554" s="12">
        <f t="shared" si="99"/>
        <v>6.36</v>
      </c>
    </row>
    <row r="1555" spans="1:6" x14ac:dyDescent="0.25">
      <c r="A1555" s="1">
        <v>36896</v>
      </c>
      <c r="B1555">
        <v>7.07</v>
      </c>
      <c r="C1555" s="11">
        <f t="shared" si="96"/>
        <v>7.0699999999999999E-2</v>
      </c>
      <c r="D1555">
        <f t="shared" si="97"/>
        <v>2001</v>
      </c>
      <c r="E1555" t="str">
        <f t="shared" si="98"/>
        <v>Jan-2001</v>
      </c>
      <c r="F1555" s="12">
        <f t="shared" si="99"/>
        <v>6.36</v>
      </c>
    </row>
    <row r="1556" spans="1:6" x14ac:dyDescent="0.25">
      <c r="A1556" s="1">
        <v>36903</v>
      </c>
      <c r="B1556">
        <v>6.89</v>
      </c>
      <c r="C1556" s="11">
        <f t="shared" si="96"/>
        <v>6.8900000000000003E-2</v>
      </c>
      <c r="D1556">
        <f t="shared" si="97"/>
        <v>2001</v>
      </c>
      <c r="E1556" t="str">
        <f t="shared" si="98"/>
        <v>Jan-2001</v>
      </c>
      <c r="F1556" s="12">
        <f t="shared" si="99"/>
        <v>6.36</v>
      </c>
    </row>
    <row r="1557" spans="1:6" x14ac:dyDescent="0.25">
      <c r="A1557" s="1">
        <v>36910</v>
      </c>
      <c r="B1557">
        <v>7.02</v>
      </c>
      <c r="C1557" s="11">
        <f t="shared" si="96"/>
        <v>7.0199999999999999E-2</v>
      </c>
      <c r="D1557">
        <f t="shared" si="97"/>
        <v>2001</v>
      </c>
      <c r="E1557" t="str">
        <f t="shared" si="98"/>
        <v>Jan-2001</v>
      </c>
      <c r="F1557" s="12">
        <f t="shared" si="99"/>
        <v>6.36</v>
      </c>
    </row>
    <row r="1558" spans="1:6" x14ac:dyDescent="0.25">
      <c r="A1558" s="1">
        <v>36917</v>
      </c>
      <c r="B1558">
        <v>7.15</v>
      </c>
      <c r="C1558" s="11">
        <f t="shared" si="96"/>
        <v>7.1500000000000008E-2</v>
      </c>
      <c r="D1558">
        <f t="shared" si="97"/>
        <v>2001</v>
      </c>
      <c r="E1558" t="str">
        <f t="shared" si="98"/>
        <v>Jan-2001</v>
      </c>
      <c r="F1558" s="12">
        <f t="shared" si="99"/>
        <v>6.36</v>
      </c>
    </row>
    <row r="1559" spans="1:6" x14ac:dyDescent="0.25">
      <c r="A1559" s="1">
        <v>36924</v>
      </c>
      <c r="B1559">
        <v>7.09</v>
      </c>
      <c r="C1559" s="11">
        <f t="shared" si="96"/>
        <v>7.0900000000000005E-2</v>
      </c>
      <c r="D1559">
        <f t="shared" si="97"/>
        <v>2001</v>
      </c>
      <c r="E1559" t="str">
        <f t="shared" si="98"/>
        <v>Feb-2001</v>
      </c>
      <c r="F1559" s="12">
        <f t="shared" si="99"/>
        <v>6.36</v>
      </c>
    </row>
    <row r="1560" spans="1:6" x14ac:dyDescent="0.25">
      <c r="A1560" s="1">
        <v>36931</v>
      </c>
      <c r="B1560">
        <v>6.98</v>
      </c>
      <c r="C1560" s="11">
        <f t="shared" si="96"/>
        <v>6.9800000000000001E-2</v>
      </c>
      <c r="D1560">
        <f t="shared" si="97"/>
        <v>2001</v>
      </c>
      <c r="E1560" t="str">
        <f t="shared" si="98"/>
        <v>Feb-2001</v>
      </c>
      <c r="F1560" s="12">
        <f t="shared" si="99"/>
        <v>6.36</v>
      </c>
    </row>
    <row r="1561" spans="1:6" x14ac:dyDescent="0.25">
      <c r="A1561" s="1">
        <v>36938</v>
      </c>
      <c r="B1561">
        <v>7.01</v>
      </c>
      <c r="C1561" s="11">
        <f t="shared" si="96"/>
        <v>7.0099999999999996E-2</v>
      </c>
      <c r="D1561">
        <f t="shared" si="97"/>
        <v>2001</v>
      </c>
      <c r="E1561" t="str">
        <f t="shared" si="98"/>
        <v>Feb-2001</v>
      </c>
      <c r="F1561" s="12">
        <f t="shared" si="99"/>
        <v>6.36</v>
      </c>
    </row>
    <row r="1562" spans="1:6" x14ac:dyDescent="0.25">
      <c r="A1562" s="1">
        <v>36945</v>
      </c>
      <c r="B1562">
        <v>7.12</v>
      </c>
      <c r="C1562" s="11">
        <f t="shared" si="96"/>
        <v>7.1199999999999999E-2</v>
      </c>
      <c r="D1562">
        <f t="shared" si="97"/>
        <v>2001</v>
      </c>
      <c r="E1562" t="str">
        <f t="shared" si="98"/>
        <v>Feb-2001</v>
      </c>
      <c r="F1562" s="12">
        <f t="shared" si="99"/>
        <v>6.36</v>
      </c>
    </row>
    <row r="1563" spans="1:6" x14ac:dyDescent="0.25">
      <c r="A1563" s="1">
        <v>36952</v>
      </c>
      <c r="B1563">
        <v>7.03</v>
      </c>
      <c r="C1563" s="11">
        <f t="shared" si="96"/>
        <v>7.0300000000000001E-2</v>
      </c>
      <c r="D1563">
        <f t="shared" si="97"/>
        <v>2001</v>
      </c>
      <c r="E1563" t="str">
        <f t="shared" si="98"/>
        <v>Mar-2001</v>
      </c>
      <c r="F1563" s="12">
        <f t="shared" si="99"/>
        <v>6.36</v>
      </c>
    </row>
    <row r="1564" spans="1:6" x14ac:dyDescent="0.25">
      <c r="A1564" s="1">
        <v>36959</v>
      </c>
      <c r="B1564">
        <v>6.97</v>
      </c>
      <c r="C1564" s="11">
        <f t="shared" si="96"/>
        <v>6.9699999999999998E-2</v>
      </c>
      <c r="D1564">
        <f t="shared" si="97"/>
        <v>2001</v>
      </c>
      <c r="E1564" t="str">
        <f t="shared" si="98"/>
        <v>Mar-2001</v>
      </c>
      <c r="F1564" s="12">
        <f t="shared" si="99"/>
        <v>6.36</v>
      </c>
    </row>
    <row r="1565" spans="1:6" x14ac:dyDescent="0.25">
      <c r="A1565" s="1">
        <v>36966</v>
      </c>
      <c r="B1565">
        <v>6.96</v>
      </c>
      <c r="C1565" s="11">
        <f t="shared" si="96"/>
        <v>6.9599999999999995E-2</v>
      </c>
      <c r="D1565">
        <f t="shared" si="97"/>
        <v>2001</v>
      </c>
      <c r="E1565" t="str">
        <f t="shared" si="98"/>
        <v>Mar-2001</v>
      </c>
      <c r="F1565" s="12">
        <f t="shared" si="99"/>
        <v>6.36</v>
      </c>
    </row>
    <row r="1566" spans="1:6" x14ac:dyDescent="0.25">
      <c r="A1566" s="1">
        <v>36973</v>
      </c>
      <c r="B1566">
        <v>6.89</v>
      </c>
      <c r="C1566" s="11">
        <f t="shared" si="96"/>
        <v>6.8900000000000003E-2</v>
      </c>
      <c r="D1566">
        <f t="shared" si="97"/>
        <v>2001</v>
      </c>
      <c r="E1566" t="str">
        <f t="shared" si="98"/>
        <v>Mar-2001</v>
      </c>
      <c r="F1566" s="12">
        <f t="shared" si="99"/>
        <v>6.36</v>
      </c>
    </row>
    <row r="1567" spans="1:6" x14ac:dyDescent="0.25">
      <c r="A1567" s="1">
        <v>36980</v>
      </c>
      <c r="B1567">
        <v>6.91</v>
      </c>
      <c r="C1567" s="11">
        <f t="shared" si="96"/>
        <v>6.9099999999999995E-2</v>
      </c>
      <c r="D1567">
        <f t="shared" si="97"/>
        <v>2001</v>
      </c>
      <c r="E1567" t="str">
        <f t="shared" si="98"/>
        <v>Mar-2001</v>
      </c>
      <c r="F1567" s="12">
        <f t="shared" si="99"/>
        <v>6.36</v>
      </c>
    </row>
    <row r="1568" spans="1:6" x14ac:dyDescent="0.25">
      <c r="A1568" s="1">
        <v>36987</v>
      </c>
      <c r="B1568">
        <v>7.01</v>
      </c>
      <c r="C1568" s="11">
        <f t="shared" si="96"/>
        <v>7.0099999999999996E-2</v>
      </c>
      <c r="D1568">
        <f t="shared" si="97"/>
        <v>2001</v>
      </c>
      <c r="E1568" t="str">
        <f t="shared" si="98"/>
        <v>Apr-2001</v>
      </c>
      <c r="F1568" s="12">
        <f t="shared" si="99"/>
        <v>6.36</v>
      </c>
    </row>
    <row r="1569" spans="1:6" x14ac:dyDescent="0.25">
      <c r="A1569" s="1">
        <v>36994</v>
      </c>
      <c r="B1569">
        <v>7.04</v>
      </c>
      <c r="C1569" s="11">
        <f t="shared" si="96"/>
        <v>7.0400000000000004E-2</v>
      </c>
      <c r="D1569">
        <f t="shared" si="97"/>
        <v>2001</v>
      </c>
      <c r="E1569" t="str">
        <f t="shared" si="98"/>
        <v>Apr-2001</v>
      </c>
      <c r="F1569" s="12">
        <f t="shared" si="99"/>
        <v>6.36</v>
      </c>
    </row>
    <row r="1570" spans="1:6" x14ac:dyDescent="0.25">
      <c r="A1570" s="1">
        <v>37001</v>
      </c>
      <c r="B1570">
        <v>7.14</v>
      </c>
      <c r="C1570" s="11">
        <f t="shared" si="96"/>
        <v>7.1399999999999991E-2</v>
      </c>
      <c r="D1570">
        <f t="shared" si="97"/>
        <v>2001</v>
      </c>
      <c r="E1570" t="str">
        <f t="shared" si="98"/>
        <v>Apr-2001</v>
      </c>
      <c r="F1570" s="12">
        <f t="shared" si="99"/>
        <v>6.36</v>
      </c>
    </row>
    <row r="1571" spans="1:6" x14ac:dyDescent="0.25">
      <c r="A1571" s="1">
        <v>37008</v>
      </c>
      <c r="B1571">
        <v>7.12</v>
      </c>
      <c r="C1571" s="11">
        <f t="shared" si="96"/>
        <v>7.1199999999999999E-2</v>
      </c>
      <c r="D1571">
        <f t="shared" si="97"/>
        <v>2001</v>
      </c>
      <c r="E1571" t="str">
        <f t="shared" si="98"/>
        <v>Apr-2001</v>
      </c>
      <c r="F1571" s="12">
        <f t="shared" si="99"/>
        <v>6.36</v>
      </c>
    </row>
    <row r="1572" spans="1:6" x14ac:dyDescent="0.25">
      <c r="A1572" s="1">
        <v>37015</v>
      </c>
      <c r="B1572">
        <v>7.14</v>
      </c>
      <c r="C1572" s="11">
        <f t="shared" si="96"/>
        <v>7.1399999999999991E-2</v>
      </c>
      <c r="D1572">
        <f t="shared" si="97"/>
        <v>2001</v>
      </c>
      <c r="E1572" t="str">
        <f t="shared" si="98"/>
        <v>May-2001</v>
      </c>
      <c r="F1572" s="12">
        <f t="shared" si="99"/>
        <v>6.36</v>
      </c>
    </row>
    <row r="1573" spans="1:6" x14ac:dyDescent="0.25">
      <c r="A1573" s="1">
        <v>37022</v>
      </c>
      <c r="B1573">
        <v>7.1</v>
      </c>
      <c r="C1573" s="11">
        <f t="shared" si="96"/>
        <v>7.0999999999999994E-2</v>
      </c>
      <c r="D1573">
        <f t="shared" si="97"/>
        <v>2001</v>
      </c>
      <c r="E1573" t="str">
        <f t="shared" si="98"/>
        <v>May-2001</v>
      </c>
      <c r="F1573" s="12">
        <f t="shared" si="99"/>
        <v>6.36</v>
      </c>
    </row>
    <row r="1574" spans="1:6" x14ac:dyDescent="0.25">
      <c r="A1574" s="1">
        <v>37029</v>
      </c>
      <c r="B1574">
        <v>7.14</v>
      </c>
      <c r="C1574" s="11">
        <f t="shared" si="96"/>
        <v>7.1399999999999991E-2</v>
      </c>
      <c r="D1574">
        <f t="shared" si="97"/>
        <v>2001</v>
      </c>
      <c r="E1574" t="str">
        <f t="shared" si="98"/>
        <v>May-2001</v>
      </c>
      <c r="F1574" s="12">
        <f t="shared" si="99"/>
        <v>6.36</v>
      </c>
    </row>
    <row r="1575" spans="1:6" x14ac:dyDescent="0.25">
      <c r="A1575" s="1">
        <v>37036</v>
      </c>
      <c r="B1575">
        <v>7.2</v>
      </c>
      <c r="C1575" s="11">
        <f t="shared" si="96"/>
        <v>7.2000000000000008E-2</v>
      </c>
      <c r="D1575">
        <f t="shared" si="97"/>
        <v>2001</v>
      </c>
      <c r="E1575" t="str">
        <f t="shared" si="98"/>
        <v>May-2001</v>
      </c>
      <c r="F1575" s="12">
        <f t="shared" si="99"/>
        <v>6.36</v>
      </c>
    </row>
    <row r="1576" spans="1:6" x14ac:dyDescent="0.25">
      <c r="A1576" s="1">
        <v>37043</v>
      </c>
      <c r="B1576">
        <v>7.24</v>
      </c>
      <c r="C1576" s="11">
        <f t="shared" si="96"/>
        <v>7.2400000000000006E-2</v>
      </c>
      <c r="D1576">
        <f t="shared" si="97"/>
        <v>2001</v>
      </c>
      <c r="E1576" t="str">
        <f t="shared" si="98"/>
        <v>Jun-2001</v>
      </c>
      <c r="F1576" s="12">
        <f t="shared" si="99"/>
        <v>6.36</v>
      </c>
    </row>
    <row r="1577" spans="1:6" x14ac:dyDescent="0.25">
      <c r="A1577" s="1">
        <v>37050</v>
      </c>
      <c r="B1577">
        <v>7.2</v>
      </c>
      <c r="C1577" s="11">
        <f t="shared" si="96"/>
        <v>7.2000000000000008E-2</v>
      </c>
      <c r="D1577">
        <f t="shared" si="97"/>
        <v>2001</v>
      </c>
      <c r="E1577" t="str">
        <f t="shared" si="98"/>
        <v>Jun-2001</v>
      </c>
      <c r="F1577" s="12">
        <f t="shared" si="99"/>
        <v>6.36</v>
      </c>
    </row>
    <row r="1578" spans="1:6" x14ac:dyDescent="0.25">
      <c r="A1578" s="1">
        <v>37057</v>
      </c>
      <c r="B1578">
        <v>7.14</v>
      </c>
      <c r="C1578" s="11">
        <f t="shared" si="96"/>
        <v>7.1399999999999991E-2</v>
      </c>
      <c r="D1578">
        <f t="shared" si="97"/>
        <v>2001</v>
      </c>
      <c r="E1578" t="str">
        <f t="shared" si="98"/>
        <v>Jun-2001</v>
      </c>
      <c r="F1578" s="12">
        <f t="shared" si="99"/>
        <v>6.36</v>
      </c>
    </row>
    <row r="1579" spans="1:6" x14ac:dyDescent="0.25">
      <c r="A1579" s="1">
        <v>37064</v>
      </c>
      <c r="B1579">
        <v>7.11</v>
      </c>
      <c r="C1579" s="11">
        <f t="shared" si="96"/>
        <v>7.1099999999999997E-2</v>
      </c>
      <c r="D1579">
        <f t="shared" si="97"/>
        <v>2001</v>
      </c>
      <c r="E1579" t="str">
        <f t="shared" si="98"/>
        <v>Jun-2001</v>
      </c>
      <c r="F1579" s="12">
        <f t="shared" si="99"/>
        <v>6.36</v>
      </c>
    </row>
    <row r="1580" spans="1:6" x14ac:dyDescent="0.25">
      <c r="A1580" s="1">
        <v>37071</v>
      </c>
      <c r="B1580">
        <v>7.11</v>
      </c>
      <c r="C1580" s="11">
        <f t="shared" si="96"/>
        <v>7.1099999999999997E-2</v>
      </c>
      <c r="D1580">
        <f t="shared" si="97"/>
        <v>2001</v>
      </c>
      <c r="E1580" t="str">
        <f t="shared" si="98"/>
        <v>Jun-2001</v>
      </c>
      <c r="F1580" s="12">
        <f t="shared" si="99"/>
        <v>6.36</v>
      </c>
    </row>
    <row r="1581" spans="1:6" x14ac:dyDescent="0.25">
      <c r="A1581" s="1">
        <v>37078</v>
      </c>
      <c r="B1581">
        <v>7.19</v>
      </c>
      <c r="C1581" s="11">
        <f t="shared" si="96"/>
        <v>7.1900000000000006E-2</v>
      </c>
      <c r="D1581">
        <f t="shared" si="97"/>
        <v>2001</v>
      </c>
      <c r="E1581" t="str">
        <f t="shared" si="98"/>
        <v>Jul-2001</v>
      </c>
      <c r="F1581" s="12">
        <f t="shared" si="99"/>
        <v>6.36</v>
      </c>
    </row>
    <row r="1582" spans="1:6" x14ac:dyDescent="0.25">
      <c r="A1582" s="1">
        <v>37085</v>
      </c>
      <c r="B1582">
        <v>7.21</v>
      </c>
      <c r="C1582" s="11">
        <f t="shared" si="96"/>
        <v>7.2099999999999997E-2</v>
      </c>
      <c r="D1582">
        <f t="shared" si="97"/>
        <v>2001</v>
      </c>
      <c r="E1582" t="str">
        <f t="shared" si="98"/>
        <v>Jul-2001</v>
      </c>
      <c r="F1582" s="12">
        <f t="shared" si="99"/>
        <v>6.36</v>
      </c>
    </row>
    <row r="1583" spans="1:6" x14ac:dyDescent="0.25">
      <c r="A1583" s="1">
        <v>37092</v>
      </c>
      <c r="B1583">
        <v>7.08</v>
      </c>
      <c r="C1583" s="11">
        <f t="shared" si="96"/>
        <v>7.0800000000000002E-2</v>
      </c>
      <c r="D1583">
        <f t="shared" si="97"/>
        <v>2001</v>
      </c>
      <c r="E1583" t="str">
        <f t="shared" si="98"/>
        <v>Jul-2001</v>
      </c>
      <c r="F1583" s="12">
        <f t="shared" si="99"/>
        <v>6.36</v>
      </c>
    </row>
    <row r="1584" spans="1:6" x14ac:dyDescent="0.25">
      <c r="A1584" s="1">
        <v>37099</v>
      </c>
      <c r="B1584">
        <v>7.03</v>
      </c>
      <c r="C1584" s="11">
        <f t="shared" si="96"/>
        <v>7.0300000000000001E-2</v>
      </c>
      <c r="D1584">
        <f t="shared" si="97"/>
        <v>2001</v>
      </c>
      <c r="E1584" t="str">
        <f t="shared" si="98"/>
        <v>Jul-2001</v>
      </c>
      <c r="F1584" s="12">
        <f t="shared" si="99"/>
        <v>6.36</v>
      </c>
    </row>
    <row r="1585" spans="1:6" x14ac:dyDescent="0.25">
      <c r="A1585" s="1">
        <v>37106</v>
      </c>
      <c r="B1585">
        <v>7</v>
      </c>
      <c r="C1585" s="11">
        <f t="shared" si="96"/>
        <v>7.0000000000000007E-2</v>
      </c>
      <c r="D1585">
        <f t="shared" si="97"/>
        <v>2001</v>
      </c>
      <c r="E1585" t="str">
        <f t="shared" si="98"/>
        <v>Aug-2001</v>
      </c>
      <c r="F1585" s="12">
        <f t="shared" si="99"/>
        <v>6.36</v>
      </c>
    </row>
    <row r="1586" spans="1:6" x14ac:dyDescent="0.25">
      <c r="A1586" s="1">
        <v>37113</v>
      </c>
      <c r="B1586">
        <v>7</v>
      </c>
      <c r="C1586" s="11">
        <f t="shared" si="96"/>
        <v>7.0000000000000007E-2</v>
      </c>
      <c r="D1586">
        <f t="shared" si="97"/>
        <v>2001</v>
      </c>
      <c r="E1586" t="str">
        <f t="shared" si="98"/>
        <v>Aug-2001</v>
      </c>
      <c r="F1586" s="12">
        <f t="shared" si="99"/>
        <v>6.36</v>
      </c>
    </row>
    <row r="1587" spans="1:6" x14ac:dyDescent="0.25">
      <c r="A1587" s="1">
        <v>37120</v>
      </c>
      <c r="B1587">
        <v>6.92</v>
      </c>
      <c r="C1587" s="11">
        <f t="shared" si="96"/>
        <v>6.9199999999999998E-2</v>
      </c>
      <c r="D1587">
        <f t="shared" si="97"/>
        <v>2001</v>
      </c>
      <c r="E1587" t="str">
        <f t="shared" si="98"/>
        <v>Aug-2001</v>
      </c>
      <c r="F1587" s="12">
        <f t="shared" si="99"/>
        <v>6.36</v>
      </c>
    </row>
    <row r="1588" spans="1:6" x14ac:dyDescent="0.25">
      <c r="A1588" s="1">
        <v>37127</v>
      </c>
      <c r="B1588">
        <v>6.91</v>
      </c>
      <c r="C1588" s="11">
        <f t="shared" si="96"/>
        <v>6.9099999999999995E-2</v>
      </c>
      <c r="D1588">
        <f t="shared" si="97"/>
        <v>2001</v>
      </c>
      <c r="E1588" t="str">
        <f t="shared" si="98"/>
        <v>Aug-2001</v>
      </c>
      <c r="F1588" s="12">
        <f t="shared" si="99"/>
        <v>6.36</v>
      </c>
    </row>
    <row r="1589" spans="1:6" x14ac:dyDescent="0.25">
      <c r="A1589" s="1">
        <v>37134</v>
      </c>
      <c r="B1589">
        <v>6.92</v>
      </c>
      <c r="C1589" s="11">
        <f t="shared" si="96"/>
        <v>6.9199999999999998E-2</v>
      </c>
      <c r="D1589">
        <f t="shared" si="97"/>
        <v>2001</v>
      </c>
      <c r="E1589" t="str">
        <f t="shared" si="98"/>
        <v>Aug-2001</v>
      </c>
      <c r="F1589" s="12">
        <f t="shared" si="99"/>
        <v>6.36</v>
      </c>
    </row>
    <row r="1590" spans="1:6" x14ac:dyDescent="0.25">
      <c r="A1590" s="1">
        <v>37141</v>
      </c>
      <c r="B1590">
        <v>6.89</v>
      </c>
      <c r="C1590" s="11">
        <f t="shared" si="96"/>
        <v>6.8900000000000003E-2</v>
      </c>
      <c r="D1590">
        <f t="shared" si="97"/>
        <v>2001</v>
      </c>
      <c r="E1590" t="str">
        <f t="shared" si="98"/>
        <v>Sep-2001</v>
      </c>
      <c r="F1590" s="12">
        <f t="shared" si="99"/>
        <v>6.36</v>
      </c>
    </row>
    <row r="1591" spans="1:6" x14ac:dyDescent="0.25">
      <c r="A1591" s="1">
        <v>37148</v>
      </c>
      <c r="B1591">
        <v>6.86</v>
      </c>
      <c r="C1591" s="11">
        <f t="shared" si="96"/>
        <v>6.8600000000000008E-2</v>
      </c>
      <c r="D1591">
        <f t="shared" si="97"/>
        <v>2001</v>
      </c>
      <c r="E1591" t="str">
        <f t="shared" si="98"/>
        <v>Sep-2001</v>
      </c>
      <c r="F1591" s="12">
        <f t="shared" si="99"/>
        <v>6.36</v>
      </c>
    </row>
    <row r="1592" spans="1:6" x14ac:dyDescent="0.25">
      <c r="A1592" s="1">
        <v>37155</v>
      </c>
      <c r="B1592">
        <v>6.8</v>
      </c>
      <c r="C1592" s="11">
        <f t="shared" si="96"/>
        <v>6.8000000000000005E-2</v>
      </c>
      <c r="D1592">
        <f t="shared" si="97"/>
        <v>2001</v>
      </c>
      <c r="E1592" t="str">
        <f t="shared" si="98"/>
        <v>Sep-2001</v>
      </c>
      <c r="F1592" s="12">
        <f t="shared" si="99"/>
        <v>6.36</v>
      </c>
    </row>
    <row r="1593" spans="1:6" x14ac:dyDescent="0.25">
      <c r="A1593" s="1">
        <v>37162</v>
      </c>
      <c r="B1593">
        <v>6.72</v>
      </c>
      <c r="C1593" s="11">
        <f t="shared" si="96"/>
        <v>6.7199999999999996E-2</v>
      </c>
      <c r="D1593">
        <f t="shared" si="97"/>
        <v>2001</v>
      </c>
      <c r="E1593" t="str">
        <f t="shared" si="98"/>
        <v>Sep-2001</v>
      </c>
      <c r="F1593" s="12">
        <f t="shared" si="99"/>
        <v>6.36</v>
      </c>
    </row>
    <row r="1594" spans="1:6" x14ac:dyDescent="0.25">
      <c r="A1594" s="1">
        <v>37169</v>
      </c>
      <c r="B1594">
        <v>6.64</v>
      </c>
      <c r="C1594" s="11">
        <f t="shared" si="96"/>
        <v>6.6400000000000001E-2</v>
      </c>
      <c r="D1594">
        <f t="shared" si="97"/>
        <v>2001</v>
      </c>
      <c r="E1594" t="str">
        <f t="shared" si="98"/>
        <v>Oct-2001</v>
      </c>
      <c r="F1594" s="12">
        <f t="shared" si="99"/>
        <v>6.36</v>
      </c>
    </row>
    <row r="1595" spans="1:6" x14ac:dyDescent="0.25">
      <c r="A1595" s="1">
        <v>37176</v>
      </c>
      <c r="B1595">
        <v>6.58</v>
      </c>
      <c r="C1595" s="11">
        <f t="shared" si="96"/>
        <v>6.5799999999999997E-2</v>
      </c>
      <c r="D1595">
        <f t="shared" si="97"/>
        <v>2001</v>
      </c>
      <c r="E1595" t="str">
        <f t="shared" si="98"/>
        <v>Oct-2001</v>
      </c>
      <c r="F1595" s="12">
        <f t="shared" si="99"/>
        <v>6.36</v>
      </c>
    </row>
    <row r="1596" spans="1:6" x14ac:dyDescent="0.25">
      <c r="A1596" s="1">
        <v>37183</v>
      </c>
      <c r="B1596">
        <v>6.61</v>
      </c>
      <c r="C1596" s="11">
        <f t="shared" si="96"/>
        <v>6.6100000000000006E-2</v>
      </c>
      <c r="D1596">
        <f t="shared" si="97"/>
        <v>2001</v>
      </c>
      <c r="E1596" t="str">
        <f t="shared" si="98"/>
        <v>Oct-2001</v>
      </c>
      <c r="F1596" s="12">
        <f t="shared" si="99"/>
        <v>6.36</v>
      </c>
    </row>
    <row r="1597" spans="1:6" x14ac:dyDescent="0.25">
      <c r="A1597" s="1">
        <v>37190</v>
      </c>
      <c r="B1597">
        <v>6.64</v>
      </c>
      <c r="C1597" s="11">
        <f t="shared" si="96"/>
        <v>6.6400000000000001E-2</v>
      </c>
      <c r="D1597">
        <f t="shared" si="97"/>
        <v>2001</v>
      </c>
      <c r="E1597" t="str">
        <f t="shared" si="98"/>
        <v>Oct-2001</v>
      </c>
      <c r="F1597" s="12">
        <f t="shared" si="99"/>
        <v>6.36</v>
      </c>
    </row>
    <row r="1598" spans="1:6" x14ac:dyDescent="0.25">
      <c r="A1598" s="1">
        <v>37197</v>
      </c>
      <c r="B1598">
        <v>6.56</v>
      </c>
      <c r="C1598" s="11">
        <f t="shared" si="96"/>
        <v>6.5599999999999992E-2</v>
      </c>
      <c r="D1598">
        <f t="shared" si="97"/>
        <v>2001</v>
      </c>
      <c r="E1598" t="str">
        <f t="shared" si="98"/>
        <v>Nov-2001</v>
      </c>
      <c r="F1598" s="12">
        <f t="shared" si="99"/>
        <v>6.36</v>
      </c>
    </row>
    <row r="1599" spans="1:6" x14ac:dyDescent="0.25">
      <c r="A1599" s="1">
        <v>37204</v>
      </c>
      <c r="B1599">
        <v>6.45</v>
      </c>
      <c r="C1599" s="11">
        <f t="shared" si="96"/>
        <v>6.4500000000000002E-2</v>
      </c>
      <c r="D1599">
        <f t="shared" si="97"/>
        <v>2001</v>
      </c>
      <c r="E1599" t="str">
        <f t="shared" si="98"/>
        <v>Nov-2001</v>
      </c>
      <c r="F1599" s="12">
        <f t="shared" si="99"/>
        <v>6.36</v>
      </c>
    </row>
    <row r="1600" spans="1:6" x14ac:dyDescent="0.25">
      <c r="A1600" s="1">
        <v>37211</v>
      </c>
      <c r="B1600">
        <v>6.51</v>
      </c>
      <c r="C1600" s="11">
        <f t="shared" si="96"/>
        <v>6.5099999999999991E-2</v>
      </c>
      <c r="D1600">
        <f t="shared" si="97"/>
        <v>2001</v>
      </c>
      <c r="E1600" t="str">
        <f t="shared" si="98"/>
        <v>Nov-2001</v>
      </c>
      <c r="F1600" s="12">
        <f t="shared" si="99"/>
        <v>6.36</v>
      </c>
    </row>
    <row r="1601" spans="1:6" x14ac:dyDescent="0.25">
      <c r="A1601" s="1">
        <v>37218</v>
      </c>
      <c r="B1601">
        <v>6.75</v>
      </c>
      <c r="C1601" s="11">
        <f t="shared" si="96"/>
        <v>6.7500000000000004E-2</v>
      </c>
      <c r="D1601">
        <f t="shared" si="97"/>
        <v>2001</v>
      </c>
      <c r="E1601" t="str">
        <f t="shared" si="98"/>
        <v>Nov-2001</v>
      </c>
      <c r="F1601" s="12">
        <f t="shared" si="99"/>
        <v>6.36</v>
      </c>
    </row>
    <row r="1602" spans="1:6" x14ac:dyDescent="0.25">
      <c r="A1602" s="1">
        <v>37225</v>
      </c>
      <c r="B1602">
        <v>7.02</v>
      </c>
      <c r="C1602" s="11">
        <f t="shared" ref="C1602:C1665" si="100">B1602/100</f>
        <v>7.0199999999999999E-2</v>
      </c>
      <c r="D1602">
        <f t="shared" ref="D1602:D1665" si="101">YEAR(A1602)</f>
        <v>2001</v>
      </c>
      <c r="E1602" t="str">
        <f t="shared" ref="E1602:E1665" si="102">TEXT(A1602,"MMM-YYYY")</f>
        <v>Nov-2001</v>
      </c>
      <c r="F1602" s="12">
        <f t="shared" ref="F1602:F1665" si="103">$H$2</f>
        <v>6.36</v>
      </c>
    </row>
    <row r="1603" spans="1:6" x14ac:dyDescent="0.25">
      <c r="A1603" s="1">
        <v>37232</v>
      </c>
      <c r="B1603">
        <v>6.84</v>
      </c>
      <c r="C1603" s="11">
        <f t="shared" si="100"/>
        <v>6.8400000000000002E-2</v>
      </c>
      <c r="D1603">
        <f t="shared" si="101"/>
        <v>2001</v>
      </c>
      <c r="E1603" t="str">
        <f t="shared" si="102"/>
        <v>Dec-2001</v>
      </c>
      <c r="F1603" s="12">
        <f t="shared" si="103"/>
        <v>6.36</v>
      </c>
    </row>
    <row r="1604" spans="1:6" x14ac:dyDescent="0.25">
      <c r="A1604" s="1">
        <v>37239</v>
      </c>
      <c r="B1604">
        <v>7.09</v>
      </c>
      <c r="C1604" s="11">
        <f t="shared" si="100"/>
        <v>7.0900000000000005E-2</v>
      </c>
      <c r="D1604">
        <f t="shared" si="101"/>
        <v>2001</v>
      </c>
      <c r="E1604" t="str">
        <f t="shared" si="102"/>
        <v>Dec-2001</v>
      </c>
      <c r="F1604" s="12">
        <f t="shared" si="103"/>
        <v>6.36</v>
      </c>
    </row>
    <row r="1605" spans="1:6" x14ac:dyDescent="0.25">
      <c r="A1605" s="1">
        <v>37246</v>
      </c>
      <c r="B1605">
        <v>7.17</v>
      </c>
      <c r="C1605" s="11">
        <f t="shared" si="100"/>
        <v>7.17E-2</v>
      </c>
      <c r="D1605">
        <f t="shared" si="101"/>
        <v>2001</v>
      </c>
      <c r="E1605" t="str">
        <f t="shared" si="102"/>
        <v>Dec-2001</v>
      </c>
      <c r="F1605" s="12">
        <f t="shared" si="103"/>
        <v>6.36</v>
      </c>
    </row>
    <row r="1606" spans="1:6" x14ac:dyDescent="0.25">
      <c r="A1606" s="1">
        <v>37253</v>
      </c>
      <c r="B1606">
        <v>7.16</v>
      </c>
      <c r="C1606" s="11">
        <f t="shared" si="100"/>
        <v>7.1599999999999997E-2</v>
      </c>
      <c r="D1606">
        <f t="shared" si="101"/>
        <v>2001</v>
      </c>
      <c r="E1606" t="str">
        <f t="shared" si="102"/>
        <v>Dec-2001</v>
      </c>
      <c r="F1606" s="12">
        <f t="shared" si="103"/>
        <v>6.36</v>
      </c>
    </row>
    <row r="1607" spans="1:6" x14ac:dyDescent="0.25">
      <c r="A1607" s="1">
        <v>37260</v>
      </c>
      <c r="B1607">
        <v>7.14</v>
      </c>
      <c r="C1607" s="11">
        <f t="shared" si="100"/>
        <v>7.1399999999999991E-2</v>
      </c>
      <c r="D1607">
        <f t="shared" si="101"/>
        <v>2002</v>
      </c>
      <c r="E1607" t="str">
        <f t="shared" si="102"/>
        <v>Jan-2002</v>
      </c>
      <c r="F1607" s="12">
        <f t="shared" si="103"/>
        <v>6.36</v>
      </c>
    </row>
    <row r="1608" spans="1:6" x14ac:dyDescent="0.25">
      <c r="A1608" s="1">
        <v>37267</v>
      </c>
      <c r="B1608">
        <v>7.06</v>
      </c>
      <c r="C1608" s="11">
        <f t="shared" si="100"/>
        <v>7.0599999999999996E-2</v>
      </c>
      <c r="D1608">
        <f t="shared" si="101"/>
        <v>2002</v>
      </c>
      <c r="E1608" t="str">
        <f t="shared" si="102"/>
        <v>Jan-2002</v>
      </c>
      <c r="F1608" s="12">
        <f t="shared" si="103"/>
        <v>6.36</v>
      </c>
    </row>
    <row r="1609" spans="1:6" x14ac:dyDescent="0.25">
      <c r="A1609" s="1">
        <v>37274</v>
      </c>
      <c r="B1609">
        <v>6.83</v>
      </c>
      <c r="C1609" s="11">
        <f t="shared" si="100"/>
        <v>6.83E-2</v>
      </c>
      <c r="D1609">
        <f t="shared" si="101"/>
        <v>2002</v>
      </c>
      <c r="E1609" t="str">
        <f t="shared" si="102"/>
        <v>Jan-2002</v>
      </c>
      <c r="F1609" s="12">
        <f t="shared" si="103"/>
        <v>6.36</v>
      </c>
    </row>
    <row r="1610" spans="1:6" x14ac:dyDescent="0.25">
      <c r="A1610" s="1">
        <v>37281</v>
      </c>
      <c r="B1610">
        <v>6.96</v>
      </c>
      <c r="C1610" s="11">
        <f t="shared" si="100"/>
        <v>6.9599999999999995E-2</v>
      </c>
      <c r="D1610">
        <f t="shared" si="101"/>
        <v>2002</v>
      </c>
      <c r="E1610" t="str">
        <f t="shared" si="102"/>
        <v>Jan-2002</v>
      </c>
      <c r="F1610" s="12">
        <f t="shared" si="103"/>
        <v>6.36</v>
      </c>
    </row>
    <row r="1611" spans="1:6" x14ac:dyDescent="0.25">
      <c r="A1611" s="1">
        <v>37288</v>
      </c>
      <c r="B1611">
        <v>7.02</v>
      </c>
      <c r="C1611" s="11">
        <f t="shared" si="100"/>
        <v>7.0199999999999999E-2</v>
      </c>
      <c r="D1611">
        <f t="shared" si="101"/>
        <v>2002</v>
      </c>
      <c r="E1611" t="str">
        <f t="shared" si="102"/>
        <v>Feb-2002</v>
      </c>
      <c r="F1611" s="12">
        <f t="shared" si="103"/>
        <v>6.36</v>
      </c>
    </row>
    <row r="1612" spans="1:6" x14ac:dyDescent="0.25">
      <c r="A1612" s="1">
        <v>37295</v>
      </c>
      <c r="B1612">
        <v>6.88</v>
      </c>
      <c r="C1612" s="11">
        <f t="shared" si="100"/>
        <v>6.88E-2</v>
      </c>
      <c r="D1612">
        <f t="shared" si="101"/>
        <v>2002</v>
      </c>
      <c r="E1612" t="str">
        <f t="shared" si="102"/>
        <v>Feb-2002</v>
      </c>
      <c r="F1612" s="12">
        <f t="shared" si="103"/>
        <v>6.36</v>
      </c>
    </row>
    <row r="1613" spans="1:6" x14ac:dyDescent="0.25">
      <c r="A1613" s="1">
        <v>37302</v>
      </c>
      <c r="B1613">
        <v>6.86</v>
      </c>
      <c r="C1613" s="11">
        <f t="shared" si="100"/>
        <v>6.8600000000000008E-2</v>
      </c>
      <c r="D1613">
        <f t="shared" si="101"/>
        <v>2002</v>
      </c>
      <c r="E1613" t="str">
        <f t="shared" si="102"/>
        <v>Feb-2002</v>
      </c>
      <c r="F1613" s="12">
        <f t="shared" si="103"/>
        <v>6.36</v>
      </c>
    </row>
    <row r="1614" spans="1:6" x14ac:dyDescent="0.25">
      <c r="A1614" s="1">
        <v>37309</v>
      </c>
      <c r="B1614">
        <v>6.81</v>
      </c>
      <c r="C1614" s="11">
        <f t="shared" si="100"/>
        <v>6.8099999999999994E-2</v>
      </c>
      <c r="D1614">
        <f t="shared" si="101"/>
        <v>2002</v>
      </c>
      <c r="E1614" t="str">
        <f t="shared" si="102"/>
        <v>Feb-2002</v>
      </c>
      <c r="F1614" s="12">
        <f t="shared" si="103"/>
        <v>6.36</v>
      </c>
    </row>
    <row r="1615" spans="1:6" x14ac:dyDescent="0.25">
      <c r="A1615" s="1">
        <v>37316</v>
      </c>
      <c r="B1615">
        <v>6.8</v>
      </c>
      <c r="C1615" s="11">
        <f t="shared" si="100"/>
        <v>6.8000000000000005E-2</v>
      </c>
      <c r="D1615">
        <f t="shared" si="101"/>
        <v>2002</v>
      </c>
      <c r="E1615" t="str">
        <f t="shared" si="102"/>
        <v>Mar-2002</v>
      </c>
      <c r="F1615" s="12">
        <f t="shared" si="103"/>
        <v>6.36</v>
      </c>
    </row>
    <row r="1616" spans="1:6" x14ac:dyDescent="0.25">
      <c r="A1616" s="1">
        <v>37323</v>
      </c>
      <c r="B1616">
        <v>6.87</v>
      </c>
      <c r="C1616" s="11">
        <f t="shared" si="100"/>
        <v>6.8699999999999997E-2</v>
      </c>
      <c r="D1616">
        <f t="shared" si="101"/>
        <v>2002</v>
      </c>
      <c r="E1616" t="str">
        <f t="shared" si="102"/>
        <v>Mar-2002</v>
      </c>
      <c r="F1616" s="12">
        <f t="shared" si="103"/>
        <v>6.36</v>
      </c>
    </row>
    <row r="1617" spans="1:6" x14ac:dyDescent="0.25">
      <c r="A1617" s="1">
        <v>37330</v>
      </c>
      <c r="B1617">
        <v>7.08</v>
      </c>
      <c r="C1617" s="11">
        <f t="shared" si="100"/>
        <v>7.0800000000000002E-2</v>
      </c>
      <c r="D1617">
        <f t="shared" si="101"/>
        <v>2002</v>
      </c>
      <c r="E1617" t="str">
        <f t="shared" si="102"/>
        <v>Mar-2002</v>
      </c>
      <c r="F1617" s="12">
        <f t="shared" si="103"/>
        <v>6.36</v>
      </c>
    </row>
    <row r="1618" spans="1:6" x14ac:dyDescent="0.25">
      <c r="A1618" s="1">
        <v>37337</v>
      </c>
      <c r="B1618">
        <v>7.14</v>
      </c>
      <c r="C1618" s="11">
        <f t="shared" si="100"/>
        <v>7.1399999999999991E-2</v>
      </c>
      <c r="D1618">
        <f t="shared" si="101"/>
        <v>2002</v>
      </c>
      <c r="E1618" t="str">
        <f t="shared" si="102"/>
        <v>Mar-2002</v>
      </c>
      <c r="F1618" s="12">
        <f t="shared" si="103"/>
        <v>6.36</v>
      </c>
    </row>
    <row r="1619" spans="1:6" x14ac:dyDescent="0.25">
      <c r="A1619" s="1">
        <v>37344</v>
      </c>
      <c r="B1619">
        <v>7.18</v>
      </c>
      <c r="C1619" s="11">
        <f t="shared" si="100"/>
        <v>7.1800000000000003E-2</v>
      </c>
      <c r="D1619">
        <f t="shared" si="101"/>
        <v>2002</v>
      </c>
      <c r="E1619" t="str">
        <f t="shared" si="102"/>
        <v>Mar-2002</v>
      </c>
      <c r="F1619" s="12">
        <f t="shared" si="103"/>
        <v>6.36</v>
      </c>
    </row>
    <row r="1620" spans="1:6" x14ac:dyDescent="0.25">
      <c r="A1620" s="1">
        <v>37351</v>
      </c>
      <c r="B1620">
        <v>7.13</v>
      </c>
      <c r="C1620" s="11">
        <f t="shared" si="100"/>
        <v>7.1300000000000002E-2</v>
      </c>
      <c r="D1620">
        <f t="shared" si="101"/>
        <v>2002</v>
      </c>
      <c r="E1620" t="str">
        <f t="shared" si="102"/>
        <v>Apr-2002</v>
      </c>
      <c r="F1620" s="12">
        <f t="shared" si="103"/>
        <v>6.36</v>
      </c>
    </row>
    <row r="1621" spans="1:6" x14ac:dyDescent="0.25">
      <c r="A1621" s="1">
        <v>37358</v>
      </c>
      <c r="B1621">
        <v>6.99</v>
      </c>
      <c r="C1621" s="11">
        <f t="shared" si="100"/>
        <v>6.9900000000000004E-2</v>
      </c>
      <c r="D1621">
        <f t="shared" si="101"/>
        <v>2002</v>
      </c>
      <c r="E1621" t="str">
        <f t="shared" si="102"/>
        <v>Apr-2002</v>
      </c>
      <c r="F1621" s="12">
        <f t="shared" si="103"/>
        <v>6.36</v>
      </c>
    </row>
    <row r="1622" spans="1:6" x14ac:dyDescent="0.25">
      <c r="A1622" s="1">
        <v>37365</v>
      </c>
      <c r="B1622">
        <v>6.94</v>
      </c>
      <c r="C1622" s="11">
        <f t="shared" si="100"/>
        <v>6.9400000000000003E-2</v>
      </c>
      <c r="D1622">
        <f t="shared" si="101"/>
        <v>2002</v>
      </c>
      <c r="E1622" t="str">
        <f t="shared" si="102"/>
        <v>Apr-2002</v>
      </c>
      <c r="F1622" s="12">
        <f t="shared" si="103"/>
        <v>6.36</v>
      </c>
    </row>
    <row r="1623" spans="1:6" x14ac:dyDescent="0.25">
      <c r="A1623" s="1">
        <v>37372</v>
      </c>
      <c r="B1623">
        <v>6.88</v>
      </c>
      <c r="C1623" s="11">
        <f t="shared" si="100"/>
        <v>6.88E-2</v>
      </c>
      <c r="D1623">
        <f t="shared" si="101"/>
        <v>2002</v>
      </c>
      <c r="E1623" t="str">
        <f t="shared" si="102"/>
        <v>Apr-2002</v>
      </c>
      <c r="F1623" s="12">
        <f t="shared" si="103"/>
        <v>6.36</v>
      </c>
    </row>
    <row r="1624" spans="1:6" x14ac:dyDescent="0.25">
      <c r="A1624" s="1">
        <v>37379</v>
      </c>
      <c r="B1624">
        <v>6.78</v>
      </c>
      <c r="C1624" s="11">
        <f t="shared" si="100"/>
        <v>6.7799999999999999E-2</v>
      </c>
      <c r="D1624">
        <f t="shared" si="101"/>
        <v>2002</v>
      </c>
      <c r="E1624" t="str">
        <f t="shared" si="102"/>
        <v>May-2002</v>
      </c>
      <c r="F1624" s="12">
        <f t="shared" si="103"/>
        <v>6.36</v>
      </c>
    </row>
    <row r="1625" spans="1:6" x14ac:dyDescent="0.25">
      <c r="A1625" s="1">
        <v>37386</v>
      </c>
      <c r="B1625">
        <v>6.79</v>
      </c>
      <c r="C1625" s="11">
        <f t="shared" si="100"/>
        <v>6.7900000000000002E-2</v>
      </c>
      <c r="D1625">
        <f t="shared" si="101"/>
        <v>2002</v>
      </c>
      <c r="E1625" t="str">
        <f t="shared" si="102"/>
        <v>May-2002</v>
      </c>
      <c r="F1625" s="12">
        <f t="shared" si="103"/>
        <v>6.36</v>
      </c>
    </row>
    <row r="1626" spans="1:6" x14ac:dyDescent="0.25">
      <c r="A1626" s="1">
        <v>37393</v>
      </c>
      <c r="B1626">
        <v>6.89</v>
      </c>
      <c r="C1626" s="11">
        <f t="shared" si="100"/>
        <v>6.8900000000000003E-2</v>
      </c>
      <c r="D1626">
        <f t="shared" si="101"/>
        <v>2002</v>
      </c>
      <c r="E1626" t="str">
        <f t="shared" si="102"/>
        <v>May-2002</v>
      </c>
      <c r="F1626" s="12">
        <f t="shared" si="103"/>
        <v>6.36</v>
      </c>
    </row>
    <row r="1627" spans="1:6" x14ac:dyDescent="0.25">
      <c r="A1627" s="1">
        <v>37400</v>
      </c>
      <c r="B1627">
        <v>6.81</v>
      </c>
      <c r="C1627" s="11">
        <f t="shared" si="100"/>
        <v>6.8099999999999994E-2</v>
      </c>
      <c r="D1627">
        <f t="shared" si="101"/>
        <v>2002</v>
      </c>
      <c r="E1627" t="str">
        <f t="shared" si="102"/>
        <v>May-2002</v>
      </c>
      <c r="F1627" s="12">
        <f t="shared" si="103"/>
        <v>6.36</v>
      </c>
    </row>
    <row r="1628" spans="1:6" x14ac:dyDescent="0.25">
      <c r="A1628" s="1">
        <v>37407</v>
      </c>
      <c r="B1628">
        <v>6.76</v>
      </c>
      <c r="C1628" s="11">
        <f t="shared" si="100"/>
        <v>6.7599999999999993E-2</v>
      </c>
      <c r="D1628">
        <f t="shared" si="101"/>
        <v>2002</v>
      </c>
      <c r="E1628" t="str">
        <f t="shared" si="102"/>
        <v>May-2002</v>
      </c>
      <c r="F1628" s="12">
        <f t="shared" si="103"/>
        <v>6.36</v>
      </c>
    </row>
    <row r="1629" spans="1:6" x14ac:dyDescent="0.25">
      <c r="A1629" s="1">
        <v>37414</v>
      </c>
      <c r="B1629">
        <v>6.71</v>
      </c>
      <c r="C1629" s="11">
        <f t="shared" si="100"/>
        <v>6.7099999999999993E-2</v>
      </c>
      <c r="D1629">
        <f t="shared" si="101"/>
        <v>2002</v>
      </c>
      <c r="E1629" t="str">
        <f t="shared" si="102"/>
        <v>Jun-2002</v>
      </c>
      <c r="F1629" s="12">
        <f t="shared" si="103"/>
        <v>6.36</v>
      </c>
    </row>
    <row r="1630" spans="1:6" x14ac:dyDescent="0.25">
      <c r="A1630" s="1">
        <v>37421</v>
      </c>
      <c r="B1630">
        <v>6.71</v>
      </c>
      <c r="C1630" s="11">
        <f t="shared" si="100"/>
        <v>6.7099999999999993E-2</v>
      </c>
      <c r="D1630">
        <f t="shared" si="101"/>
        <v>2002</v>
      </c>
      <c r="E1630" t="str">
        <f t="shared" si="102"/>
        <v>Jun-2002</v>
      </c>
      <c r="F1630" s="12">
        <f t="shared" si="103"/>
        <v>6.36</v>
      </c>
    </row>
    <row r="1631" spans="1:6" x14ac:dyDescent="0.25">
      <c r="A1631" s="1">
        <v>37428</v>
      </c>
      <c r="B1631">
        <v>6.63</v>
      </c>
      <c r="C1631" s="11">
        <f t="shared" si="100"/>
        <v>6.6299999999999998E-2</v>
      </c>
      <c r="D1631">
        <f t="shared" si="101"/>
        <v>2002</v>
      </c>
      <c r="E1631" t="str">
        <f t="shared" si="102"/>
        <v>Jun-2002</v>
      </c>
      <c r="F1631" s="12">
        <f t="shared" si="103"/>
        <v>6.36</v>
      </c>
    </row>
    <row r="1632" spans="1:6" x14ac:dyDescent="0.25">
      <c r="A1632" s="1">
        <v>37435</v>
      </c>
      <c r="B1632">
        <v>6.55</v>
      </c>
      <c r="C1632" s="11">
        <f t="shared" si="100"/>
        <v>6.5500000000000003E-2</v>
      </c>
      <c r="D1632">
        <f t="shared" si="101"/>
        <v>2002</v>
      </c>
      <c r="E1632" t="str">
        <f t="shared" si="102"/>
        <v>Jun-2002</v>
      </c>
      <c r="F1632" s="12">
        <f t="shared" si="103"/>
        <v>6.36</v>
      </c>
    </row>
    <row r="1633" spans="1:6" x14ac:dyDescent="0.25">
      <c r="A1633" s="1">
        <v>37442</v>
      </c>
      <c r="B1633">
        <v>6.57</v>
      </c>
      <c r="C1633" s="11">
        <f t="shared" si="100"/>
        <v>6.5700000000000008E-2</v>
      </c>
      <c r="D1633">
        <f t="shared" si="101"/>
        <v>2002</v>
      </c>
      <c r="E1633" t="str">
        <f t="shared" si="102"/>
        <v>Jul-2002</v>
      </c>
      <c r="F1633" s="12">
        <f t="shared" si="103"/>
        <v>6.36</v>
      </c>
    </row>
    <row r="1634" spans="1:6" x14ac:dyDescent="0.25">
      <c r="A1634" s="1">
        <v>37449</v>
      </c>
      <c r="B1634">
        <v>6.54</v>
      </c>
      <c r="C1634" s="11">
        <f t="shared" si="100"/>
        <v>6.54E-2</v>
      </c>
      <c r="D1634">
        <f t="shared" si="101"/>
        <v>2002</v>
      </c>
      <c r="E1634" t="str">
        <f t="shared" si="102"/>
        <v>Jul-2002</v>
      </c>
      <c r="F1634" s="12">
        <f t="shared" si="103"/>
        <v>6.36</v>
      </c>
    </row>
    <row r="1635" spans="1:6" x14ac:dyDescent="0.25">
      <c r="A1635" s="1">
        <v>37456</v>
      </c>
      <c r="B1635">
        <v>6.49</v>
      </c>
      <c r="C1635" s="11">
        <f t="shared" si="100"/>
        <v>6.4899999999999999E-2</v>
      </c>
      <c r="D1635">
        <f t="shared" si="101"/>
        <v>2002</v>
      </c>
      <c r="E1635" t="str">
        <f t="shared" si="102"/>
        <v>Jul-2002</v>
      </c>
      <c r="F1635" s="12">
        <f t="shared" si="103"/>
        <v>6.36</v>
      </c>
    </row>
    <row r="1636" spans="1:6" x14ac:dyDescent="0.25">
      <c r="A1636" s="1">
        <v>37463</v>
      </c>
      <c r="B1636">
        <v>6.34</v>
      </c>
      <c r="C1636" s="11">
        <f t="shared" si="100"/>
        <v>6.3399999999999998E-2</v>
      </c>
      <c r="D1636">
        <f t="shared" si="101"/>
        <v>2002</v>
      </c>
      <c r="E1636" t="str">
        <f t="shared" si="102"/>
        <v>Jul-2002</v>
      </c>
      <c r="F1636" s="12">
        <f t="shared" si="103"/>
        <v>6.36</v>
      </c>
    </row>
    <row r="1637" spans="1:6" x14ac:dyDescent="0.25">
      <c r="A1637" s="1">
        <v>37470</v>
      </c>
      <c r="B1637">
        <v>6.43</v>
      </c>
      <c r="C1637" s="11">
        <f t="shared" si="100"/>
        <v>6.4299999999999996E-2</v>
      </c>
      <c r="D1637">
        <f t="shared" si="101"/>
        <v>2002</v>
      </c>
      <c r="E1637" t="str">
        <f t="shared" si="102"/>
        <v>Aug-2002</v>
      </c>
      <c r="F1637" s="12">
        <f t="shared" si="103"/>
        <v>6.36</v>
      </c>
    </row>
    <row r="1638" spans="1:6" x14ac:dyDescent="0.25">
      <c r="A1638" s="1">
        <v>37477</v>
      </c>
      <c r="B1638">
        <v>6.31</v>
      </c>
      <c r="C1638" s="11">
        <f t="shared" si="100"/>
        <v>6.3099999999999989E-2</v>
      </c>
      <c r="D1638">
        <f t="shared" si="101"/>
        <v>2002</v>
      </c>
      <c r="E1638" t="str">
        <f t="shared" si="102"/>
        <v>Aug-2002</v>
      </c>
      <c r="F1638" s="12">
        <f t="shared" si="103"/>
        <v>6.36</v>
      </c>
    </row>
    <row r="1639" spans="1:6" x14ac:dyDescent="0.25">
      <c r="A1639" s="1">
        <v>37484</v>
      </c>
      <c r="B1639">
        <v>6.22</v>
      </c>
      <c r="C1639" s="11">
        <f t="shared" si="100"/>
        <v>6.2199999999999998E-2</v>
      </c>
      <c r="D1639">
        <f t="shared" si="101"/>
        <v>2002</v>
      </c>
      <c r="E1639" t="str">
        <f t="shared" si="102"/>
        <v>Aug-2002</v>
      </c>
      <c r="F1639" s="12">
        <f t="shared" si="103"/>
        <v>6.36</v>
      </c>
    </row>
    <row r="1640" spans="1:6" x14ac:dyDescent="0.25">
      <c r="A1640" s="1">
        <v>37491</v>
      </c>
      <c r="B1640">
        <v>6.27</v>
      </c>
      <c r="C1640" s="11">
        <f t="shared" si="100"/>
        <v>6.2699999999999992E-2</v>
      </c>
      <c r="D1640">
        <f t="shared" si="101"/>
        <v>2002</v>
      </c>
      <c r="E1640" t="str">
        <f t="shared" si="102"/>
        <v>Aug-2002</v>
      </c>
      <c r="F1640" s="12">
        <f t="shared" si="103"/>
        <v>6.36</v>
      </c>
    </row>
    <row r="1641" spans="1:6" x14ac:dyDescent="0.25">
      <c r="A1641" s="1">
        <v>37498</v>
      </c>
      <c r="B1641">
        <v>6.22</v>
      </c>
      <c r="C1641" s="11">
        <f t="shared" si="100"/>
        <v>6.2199999999999998E-2</v>
      </c>
      <c r="D1641">
        <f t="shared" si="101"/>
        <v>2002</v>
      </c>
      <c r="E1641" t="str">
        <f t="shared" si="102"/>
        <v>Aug-2002</v>
      </c>
      <c r="F1641" s="12">
        <f t="shared" si="103"/>
        <v>6.36</v>
      </c>
    </row>
    <row r="1642" spans="1:6" x14ac:dyDescent="0.25">
      <c r="A1642" s="1">
        <v>37505</v>
      </c>
      <c r="B1642">
        <v>6.15</v>
      </c>
      <c r="C1642" s="11">
        <f t="shared" si="100"/>
        <v>6.1500000000000006E-2</v>
      </c>
      <c r="D1642">
        <f t="shared" si="101"/>
        <v>2002</v>
      </c>
      <c r="E1642" t="str">
        <f t="shared" si="102"/>
        <v>Sep-2002</v>
      </c>
      <c r="F1642" s="12">
        <f t="shared" si="103"/>
        <v>6.36</v>
      </c>
    </row>
    <row r="1643" spans="1:6" x14ac:dyDescent="0.25">
      <c r="A1643" s="1">
        <v>37512</v>
      </c>
      <c r="B1643">
        <v>6.18</v>
      </c>
      <c r="C1643" s="11">
        <f t="shared" si="100"/>
        <v>6.1799999999999994E-2</v>
      </c>
      <c r="D1643">
        <f t="shared" si="101"/>
        <v>2002</v>
      </c>
      <c r="E1643" t="str">
        <f t="shared" si="102"/>
        <v>Sep-2002</v>
      </c>
      <c r="F1643" s="12">
        <f t="shared" si="103"/>
        <v>6.36</v>
      </c>
    </row>
    <row r="1644" spans="1:6" x14ac:dyDescent="0.25">
      <c r="A1644" s="1">
        <v>37519</v>
      </c>
      <c r="B1644">
        <v>6.05</v>
      </c>
      <c r="C1644" s="11">
        <f t="shared" si="100"/>
        <v>6.0499999999999998E-2</v>
      </c>
      <c r="D1644">
        <f t="shared" si="101"/>
        <v>2002</v>
      </c>
      <c r="E1644" t="str">
        <f t="shared" si="102"/>
        <v>Sep-2002</v>
      </c>
      <c r="F1644" s="12">
        <f t="shared" si="103"/>
        <v>6.36</v>
      </c>
    </row>
    <row r="1645" spans="1:6" x14ac:dyDescent="0.25">
      <c r="A1645" s="1">
        <v>37526</v>
      </c>
      <c r="B1645">
        <v>5.99</v>
      </c>
      <c r="C1645" s="11">
        <f t="shared" si="100"/>
        <v>5.9900000000000002E-2</v>
      </c>
      <c r="D1645">
        <f t="shared" si="101"/>
        <v>2002</v>
      </c>
      <c r="E1645" t="str">
        <f t="shared" si="102"/>
        <v>Sep-2002</v>
      </c>
      <c r="F1645" s="12">
        <f t="shared" si="103"/>
        <v>6.36</v>
      </c>
    </row>
    <row r="1646" spans="1:6" x14ac:dyDescent="0.25">
      <c r="A1646" s="1">
        <v>37533</v>
      </c>
      <c r="B1646">
        <v>6.01</v>
      </c>
      <c r="C1646" s="11">
        <f t="shared" si="100"/>
        <v>6.0100000000000001E-2</v>
      </c>
      <c r="D1646">
        <f t="shared" si="101"/>
        <v>2002</v>
      </c>
      <c r="E1646" t="str">
        <f t="shared" si="102"/>
        <v>Oct-2002</v>
      </c>
      <c r="F1646" s="12">
        <f t="shared" si="103"/>
        <v>6.36</v>
      </c>
    </row>
    <row r="1647" spans="1:6" x14ac:dyDescent="0.25">
      <c r="A1647" s="1">
        <v>37540</v>
      </c>
      <c r="B1647">
        <v>5.98</v>
      </c>
      <c r="C1647" s="11">
        <f t="shared" si="100"/>
        <v>5.9800000000000006E-2</v>
      </c>
      <c r="D1647">
        <f t="shared" si="101"/>
        <v>2002</v>
      </c>
      <c r="E1647" t="str">
        <f t="shared" si="102"/>
        <v>Oct-2002</v>
      </c>
      <c r="F1647" s="12">
        <f t="shared" si="103"/>
        <v>6.36</v>
      </c>
    </row>
    <row r="1648" spans="1:6" x14ac:dyDescent="0.25">
      <c r="A1648" s="1">
        <v>37547</v>
      </c>
      <c r="B1648">
        <v>6.15</v>
      </c>
      <c r="C1648" s="11">
        <f t="shared" si="100"/>
        <v>6.1500000000000006E-2</v>
      </c>
      <c r="D1648">
        <f t="shared" si="101"/>
        <v>2002</v>
      </c>
      <c r="E1648" t="str">
        <f t="shared" si="102"/>
        <v>Oct-2002</v>
      </c>
      <c r="F1648" s="12">
        <f t="shared" si="103"/>
        <v>6.36</v>
      </c>
    </row>
    <row r="1649" spans="1:6" x14ac:dyDescent="0.25">
      <c r="A1649" s="1">
        <v>37554</v>
      </c>
      <c r="B1649">
        <v>6.31</v>
      </c>
      <c r="C1649" s="11">
        <f t="shared" si="100"/>
        <v>6.3099999999999989E-2</v>
      </c>
      <c r="D1649">
        <f t="shared" si="101"/>
        <v>2002</v>
      </c>
      <c r="E1649" t="str">
        <f t="shared" si="102"/>
        <v>Oct-2002</v>
      </c>
      <c r="F1649" s="12">
        <f t="shared" si="103"/>
        <v>6.36</v>
      </c>
    </row>
    <row r="1650" spans="1:6" x14ac:dyDescent="0.25">
      <c r="A1650" s="1">
        <v>37561</v>
      </c>
      <c r="B1650">
        <v>6.13</v>
      </c>
      <c r="C1650" s="11">
        <f t="shared" si="100"/>
        <v>6.13E-2</v>
      </c>
      <c r="D1650">
        <f t="shared" si="101"/>
        <v>2002</v>
      </c>
      <c r="E1650" t="str">
        <f t="shared" si="102"/>
        <v>Nov-2002</v>
      </c>
      <c r="F1650" s="12">
        <f t="shared" si="103"/>
        <v>6.36</v>
      </c>
    </row>
    <row r="1651" spans="1:6" x14ac:dyDescent="0.25">
      <c r="A1651" s="1">
        <v>37568</v>
      </c>
      <c r="B1651">
        <v>6.11</v>
      </c>
      <c r="C1651" s="11">
        <f t="shared" si="100"/>
        <v>6.1100000000000002E-2</v>
      </c>
      <c r="D1651">
        <f t="shared" si="101"/>
        <v>2002</v>
      </c>
      <c r="E1651" t="str">
        <f t="shared" si="102"/>
        <v>Nov-2002</v>
      </c>
      <c r="F1651" s="12">
        <f t="shared" si="103"/>
        <v>6.36</v>
      </c>
    </row>
    <row r="1652" spans="1:6" x14ac:dyDescent="0.25">
      <c r="A1652" s="1">
        <v>37575</v>
      </c>
      <c r="B1652">
        <v>5.94</v>
      </c>
      <c r="C1652" s="11">
        <f t="shared" si="100"/>
        <v>5.9400000000000001E-2</v>
      </c>
      <c r="D1652">
        <f t="shared" si="101"/>
        <v>2002</v>
      </c>
      <c r="E1652" t="str">
        <f t="shared" si="102"/>
        <v>Nov-2002</v>
      </c>
      <c r="F1652" s="12">
        <f t="shared" si="103"/>
        <v>6.36</v>
      </c>
    </row>
    <row r="1653" spans="1:6" x14ac:dyDescent="0.25">
      <c r="A1653" s="1">
        <v>37582</v>
      </c>
      <c r="B1653">
        <v>6.03</v>
      </c>
      <c r="C1653" s="11">
        <f t="shared" si="100"/>
        <v>6.0299999999999999E-2</v>
      </c>
      <c r="D1653">
        <f t="shared" si="101"/>
        <v>2002</v>
      </c>
      <c r="E1653" t="str">
        <f t="shared" si="102"/>
        <v>Nov-2002</v>
      </c>
      <c r="F1653" s="12">
        <f t="shared" si="103"/>
        <v>6.36</v>
      </c>
    </row>
    <row r="1654" spans="1:6" x14ac:dyDescent="0.25">
      <c r="A1654" s="1">
        <v>37589</v>
      </c>
      <c r="B1654">
        <v>6.13</v>
      </c>
      <c r="C1654" s="11">
        <f t="shared" si="100"/>
        <v>6.13E-2</v>
      </c>
      <c r="D1654">
        <f t="shared" si="101"/>
        <v>2002</v>
      </c>
      <c r="E1654" t="str">
        <f t="shared" si="102"/>
        <v>Nov-2002</v>
      </c>
      <c r="F1654" s="12">
        <f t="shared" si="103"/>
        <v>6.36</v>
      </c>
    </row>
    <row r="1655" spans="1:6" x14ac:dyDescent="0.25">
      <c r="A1655" s="1">
        <v>37596</v>
      </c>
      <c r="B1655">
        <v>6.19</v>
      </c>
      <c r="C1655" s="11">
        <f t="shared" si="100"/>
        <v>6.1900000000000004E-2</v>
      </c>
      <c r="D1655">
        <f t="shared" si="101"/>
        <v>2002</v>
      </c>
      <c r="E1655" t="str">
        <f t="shared" si="102"/>
        <v>Dec-2002</v>
      </c>
      <c r="F1655" s="12">
        <f t="shared" si="103"/>
        <v>6.36</v>
      </c>
    </row>
    <row r="1656" spans="1:6" x14ac:dyDescent="0.25">
      <c r="A1656" s="1">
        <v>37603</v>
      </c>
      <c r="B1656">
        <v>6.04</v>
      </c>
      <c r="C1656" s="11">
        <f t="shared" si="100"/>
        <v>6.0400000000000002E-2</v>
      </c>
      <c r="D1656">
        <f t="shared" si="101"/>
        <v>2002</v>
      </c>
      <c r="E1656" t="str">
        <f t="shared" si="102"/>
        <v>Dec-2002</v>
      </c>
      <c r="F1656" s="12">
        <f t="shared" si="103"/>
        <v>6.36</v>
      </c>
    </row>
    <row r="1657" spans="1:6" x14ac:dyDescent="0.25">
      <c r="A1657" s="1">
        <v>37610</v>
      </c>
      <c r="B1657">
        <v>6.03</v>
      </c>
      <c r="C1657" s="11">
        <f t="shared" si="100"/>
        <v>6.0299999999999999E-2</v>
      </c>
      <c r="D1657">
        <f t="shared" si="101"/>
        <v>2002</v>
      </c>
      <c r="E1657" t="str">
        <f t="shared" si="102"/>
        <v>Dec-2002</v>
      </c>
      <c r="F1657" s="12">
        <f t="shared" si="103"/>
        <v>6.36</v>
      </c>
    </row>
    <row r="1658" spans="1:6" x14ac:dyDescent="0.25">
      <c r="A1658" s="1">
        <v>37617</v>
      </c>
      <c r="B1658">
        <v>5.93</v>
      </c>
      <c r="C1658" s="11">
        <f t="shared" si="100"/>
        <v>5.9299999999999999E-2</v>
      </c>
      <c r="D1658">
        <f t="shared" si="101"/>
        <v>2002</v>
      </c>
      <c r="E1658" t="str">
        <f t="shared" si="102"/>
        <v>Dec-2002</v>
      </c>
      <c r="F1658" s="12">
        <f t="shared" si="103"/>
        <v>6.36</v>
      </c>
    </row>
    <row r="1659" spans="1:6" x14ac:dyDescent="0.25">
      <c r="A1659" s="1">
        <v>37624</v>
      </c>
      <c r="B1659">
        <v>5.85</v>
      </c>
      <c r="C1659" s="11">
        <f t="shared" si="100"/>
        <v>5.8499999999999996E-2</v>
      </c>
      <c r="D1659">
        <f t="shared" si="101"/>
        <v>2003</v>
      </c>
      <c r="E1659" t="str">
        <f t="shared" si="102"/>
        <v>Jan-2003</v>
      </c>
      <c r="F1659" s="12">
        <f t="shared" si="103"/>
        <v>6.36</v>
      </c>
    </row>
    <row r="1660" spans="1:6" x14ac:dyDescent="0.25">
      <c r="A1660" s="1">
        <v>37631</v>
      </c>
      <c r="B1660">
        <v>5.95</v>
      </c>
      <c r="C1660" s="11">
        <f t="shared" si="100"/>
        <v>5.9500000000000004E-2</v>
      </c>
      <c r="D1660">
        <f t="shared" si="101"/>
        <v>2003</v>
      </c>
      <c r="E1660" t="str">
        <f t="shared" si="102"/>
        <v>Jan-2003</v>
      </c>
      <c r="F1660" s="12">
        <f t="shared" si="103"/>
        <v>6.36</v>
      </c>
    </row>
    <row r="1661" spans="1:6" x14ac:dyDescent="0.25">
      <c r="A1661" s="1">
        <v>37638</v>
      </c>
      <c r="B1661">
        <v>5.97</v>
      </c>
      <c r="C1661" s="11">
        <f t="shared" si="100"/>
        <v>5.9699999999999996E-2</v>
      </c>
      <c r="D1661">
        <f t="shared" si="101"/>
        <v>2003</v>
      </c>
      <c r="E1661" t="str">
        <f t="shared" si="102"/>
        <v>Jan-2003</v>
      </c>
      <c r="F1661" s="12">
        <f t="shared" si="103"/>
        <v>6.36</v>
      </c>
    </row>
    <row r="1662" spans="1:6" x14ac:dyDescent="0.25">
      <c r="A1662" s="1">
        <v>37645</v>
      </c>
      <c r="B1662">
        <v>5.91</v>
      </c>
      <c r="C1662" s="11">
        <f t="shared" si="100"/>
        <v>5.91E-2</v>
      </c>
      <c r="D1662">
        <f t="shared" si="101"/>
        <v>2003</v>
      </c>
      <c r="E1662" t="str">
        <f t="shared" si="102"/>
        <v>Jan-2003</v>
      </c>
      <c r="F1662" s="12">
        <f t="shared" si="103"/>
        <v>6.36</v>
      </c>
    </row>
    <row r="1663" spans="1:6" x14ac:dyDescent="0.25">
      <c r="A1663" s="1">
        <v>37652</v>
      </c>
      <c r="B1663">
        <v>5.9</v>
      </c>
      <c r="C1663" s="11">
        <f t="shared" si="100"/>
        <v>5.9000000000000004E-2</v>
      </c>
      <c r="D1663">
        <f t="shared" si="101"/>
        <v>2003</v>
      </c>
      <c r="E1663" t="str">
        <f t="shared" si="102"/>
        <v>Jan-2003</v>
      </c>
      <c r="F1663" s="12">
        <f t="shared" si="103"/>
        <v>6.36</v>
      </c>
    </row>
    <row r="1664" spans="1:6" x14ac:dyDescent="0.25">
      <c r="A1664" s="1">
        <v>37659</v>
      </c>
      <c r="B1664">
        <v>5.88</v>
      </c>
      <c r="C1664" s="11">
        <f t="shared" si="100"/>
        <v>5.8799999999999998E-2</v>
      </c>
      <c r="D1664">
        <f t="shared" si="101"/>
        <v>2003</v>
      </c>
      <c r="E1664" t="str">
        <f t="shared" si="102"/>
        <v>Feb-2003</v>
      </c>
      <c r="F1664" s="12">
        <f t="shared" si="103"/>
        <v>6.36</v>
      </c>
    </row>
    <row r="1665" spans="1:6" x14ac:dyDescent="0.25">
      <c r="A1665" s="1">
        <v>37666</v>
      </c>
      <c r="B1665">
        <v>5.86</v>
      </c>
      <c r="C1665" s="11">
        <f t="shared" si="100"/>
        <v>5.8600000000000006E-2</v>
      </c>
      <c r="D1665">
        <f t="shared" si="101"/>
        <v>2003</v>
      </c>
      <c r="E1665" t="str">
        <f t="shared" si="102"/>
        <v>Feb-2003</v>
      </c>
      <c r="F1665" s="12">
        <f t="shared" si="103"/>
        <v>6.36</v>
      </c>
    </row>
    <row r="1666" spans="1:6" x14ac:dyDescent="0.25">
      <c r="A1666" s="1">
        <v>37673</v>
      </c>
      <c r="B1666">
        <v>5.84</v>
      </c>
      <c r="C1666" s="11">
        <f t="shared" ref="C1666:C1729" si="104">B1666/100</f>
        <v>5.8400000000000001E-2</v>
      </c>
      <c r="D1666">
        <f t="shared" ref="D1666:D1729" si="105">YEAR(A1666)</f>
        <v>2003</v>
      </c>
      <c r="E1666" t="str">
        <f t="shared" ref="E1666:E1729" si="106">TEXT(A1666,"MMM-YYYY")</f>
        <v>Feb-2003</v>
      </c>
      <c r="F1666" s="12">
        <f t="shared" ref="F1666:F1729" si="107">$H$2</f>
        <v>6.36</v>
      </c>
    </row>
    <row r="1667" spans="1:6" x14ac:dyDescent="0.25">
      <c r="A1667" s="1">
        <v>37680</v>
      </c>
      <c r="B1667">
        <v>5.79</v>
      </c>
      <c r="C1667" s="11">
        <f t="shared" si="104"/>
        <v>5.79E-2</v>
      </c>
      <c r="D1667">
        <f t="shared" si="105"/>
        <v>2003</v>
      </c>
      <c r="E1667" t="str">
        <f t="shared" si="106"/>
        <v>Feb-2003</v>
      </c>
      <c r="F1667" s="12">
        <f t="shared" si="107"/>
        <v>6.36</v>
      </c>
    </row>
    <row r="1668" spans="1:6" x14ac:dyDescent="0.25">
      <c r="A1668" s="1">
        <v>37687</v>
      </c>
      <c r="B1668">
        <v>5.67</v>
      </c>
      <c r="C1668" s="11">
        <f t="shared" si="104"/>
        <v>5.67E-2</v>
      </c>
      <c r="D1668">
        <f t="shared" si="105"/>
        <v>2003</v>
      </c>
      <c r="E1668" t="str">
        <f t="shared" si="106"/>
        <v>Mar-2003</v>
      </c>
      <c r="F1668" s="12">
        <f t="shared" si="107"/>
        <v>6.36</v>
      </c>
    </row>
    <row r="1669" spans="1:6" x14ac:dyDescent="0.25">
      <c r="A1669" s="1">
        <v>37694</v>
      </c>
      <c r="B1669">
        <v>5.61</v>
      </c>
      <c r="C1669" s="11">
        <f t="shared" si="104"/>
        <v>5.6100000000000004E-2</v>
      </c>
      <c r="D1669">
        <f t="shared" si="105"/>
        <v>2003</v>
      </c>
      <c r="E1669" t="str">
        <f t="shared" si="106"/>
        <v>Mar-2003</v>
      </c>
      <c r="F1669" s="12">
        <f t="shared" si="107"/>
        <v>6.36</v>
      </c>
    </row>
    <row r="1670" spans="1:6" x14ac:dyDescent="0.25">
      <c r="A1670" s="1">
        <v>37701</v>
      </c>
      <c r="B1670">
        <v>5.79</v>
      </c>
      <c r="C1670" s="11">
        <f t="shared" si="104"/>
        <v>5.79E-2</v>
      </c>
      <c r="D1670">
        <f t="shared" si="105"/>
        <v>2003</v>
      </c>
      <c r="E1670" t="str">
        <f t="shared" si="106"/>
        <v>Mar-2003</v>
      </c>
      <c r="F1670" s="12">
        <f t="shared" si="107"/>
        <v>6.36</v>
      </c>
    </row>
    <row r="1671" spans="1:6" x14ac:dyDescent="0.25">
      <c r="A1671" s="1">
        <v>37708</v>
      </c>
      <c r="B1671">
        <v>5.91</v>
      </c>
      <c r="C1671" s="11">
        <f t="shared" si="104"/>
        <v>5.91E-2</v>
      </c>
      <c r="D1671">
        <f t="shared" si="105"/>
        <v>2003</v>
      </c>
      <c r="E1671" t="str">
        <f t="shared" si="106"/>
        <v>Mar-2003</v>
      </c>
      <c r="F1671" s="12">
        <f t="shared" si="107"/>
        <v>6.36</v>
      </c>
    </row>
    <row r="1672" spans="1:6" x14ac:dyDescent="0.25">
      <c r="A1672" s="1">
        <v>37715</v>
      </c>
      <c r="B1672">
        <v>5.79</v>
      </c>
      <c r="C1672" s="11">
        <f t="shared" si="104"/>
        <v>5.79E-2</v>
      </c>
      <c r="D1672">
        <f t="shared" si="105"/>
        <v>2003</v>
      </c>
      <c r="E1672" t="str">
        <f t="shared" si="106"/>
        <v>Apr-2003</v>
      </c>
      <c r="F1672" s="12">
        <f t="shared" si="107"/>
        <v>6.36</v>
      </c>
    </row>
    <row r="1673" spans="1:6" x14ac:dyDescent="0.25">
      <c r="A1673" s="1">
        <v>37722</v>
      </c>
      <c r="B1673">
        <v>5.85</v>
      </c>
      <c r="C1673" s="11">
        <f t="shared" si="104"/>
        <v>5.8499999999999996E-2</v>
      </c>
      <c r="D1673">
        <f t="shared" si="105"/>
        <v>2003</v>
      </c>
      <c r="E1673" t="str">
        <f t="shared" si="106"/>
        <v>Apr-2003</v>
      </c>
      <c r="F1673" s="12">
        <f t="shared" si="107"/>
        <v>6.36</v>
      </c>
    </row>
    <row r="1674" spans="1:6" x14ac:dyDescent="0.25">
      <c r="A1674" s="1">
        <v>37729</v>
      </c>
      <c r="B1674">
        <v>5.82</v>
      </c>
      <c r="C1674" s="11">
        <f t="shared" si="104"/>
        <v>5.8200000000000002E-2</v>
      </c>
      <c r="D1674">
        <f t="shared" si="105"/>
        <v>2003</v>
      </c>
      <c r="E1674" t="str">
        <f t="shared" si="106"/>
        <v>Apr-2003</v>
      </c>
      <c r="F1674" s="12">
        <f t="shared" si="107"/>
        <v>6.36</v>
      </c>
    </row>
    <row r="1675" spans="1:6" x14ac:dyDescent="0.25">
      <c r="A1675" s="1">
        <v>37736</v>
      </c>
      <c r="B1675">
        <v>5.79</v>
      </c>
      <c r="C1675" s="11">
        <f t="shared" si="104"/>
        <v>5.79E-2</v>
      </c>
      <c r="D1675">
        <f t="shared" si="105"/>
        <v>2003</v>
      </c>
      <c r="E1675" t="str">
        <f t="shared" si="106"/>
        <v>Apr-2003</v>
      </c>
      <c r="F1675" s="12">
        <f t="shared" si="107"/>
        <v>6.36</v>
      </c>
    </row>
    <row r="1676" spans="1:6" x14ac:dyDescent="0.25">
      <c r="A1676" s="1">
        <v>37743</v>
      </c>
      <c r="B1676">
        <v>5.7</v>
      </c>
      <c r="C1676" s="11">
        <f t="shared" si="104"/>
        <v>5.7000000000000002E-2</v>
      </c>
      <c r="D1676">
        <f t="shared" si="105"/>
        <v>2003</v>
      </c>
      <c r="E1676" t="str">
        <f t="shared" si="106"/>
        <v>May-2003</v>
      </c>
      <c r="F1676" s="12">
        <f t="shared" si="107"/>
        <v>6.36</v>
      </c>
    </row>
    <row r="1677" spans="1:6" x14ac:dyDescent="0.25">
      <c r="A1677" s="1">
        <v>37750</v>
      </c>
      <c r="B1677">
        <v>5.62</v>
      </c>
      <c r="C1677" s="11">
        <f t="shared" si="104"/>
        <v>5.62E-2</v>
      </c>
      <c r="D1677">
        <f t="shared" si="105"/>
        <v>2003</v>
      </c>
      <c r="E1677" t="str">
        <f t="shared" si="106"/>
        <v>May-2003</v>
      </c>
      <c r="F1677" s="12">
        <f t="shared" si="107"/>
        <v>6.36</v>
      </c>
    </row>
    <row r="1678" spans="1:6" x14ac:dyDescent="0.25">
      <c r="A1678" s="1">
        <v>37757</v>
      </c>
      <c r="B1678">
        <v>5.45</v>
      </c>
      <c r="C1678" s="11">
        <f t="shared" si="104"/>
        <v>5.45E-2</v>
      </c>
      <c r="D1678">
        <f t="shared" si="105"/>
        <v>2003</v>
      </c>
      <c r="E1678" t="str">
        <f t="shared" si="106"/>
        <v>May-2003</v>
      </c>
      <c r="F1678" s="12">
        <f t="shared" si="107"/>
        <v>6.36</v>
      </c>
    </row>
    <row r="1679" spans="1:6" x14ac:dyDescent="0.25">
      <c r="A1679" s="1">
        <v>37764</v>
      </c>
      <c r="B1679">
        <v>5.34</v>
      </c>
      <c r="C1679" s="11">
        <f t="shared" si="104"/>
        <v>5.3399999999999996E-2</v>
      </c>
      <c r="D1679">
        <f t="shared" si="105"/>
        <v>2003</v>
      </c>
      <c r="E1679" t="str">
        <f t="shared" si="106"/>
        <v>May-2003</v>
      </c>
      <c r="F1679" s="12">
        <f t="shared" si="107"/>
        <v>6.36</v>
      </c>
    </row>
    <row r="1680" spans="1:6" x14ac:dyDescent="0.25">
      <c r="A1680" s="1">
        <v>37771</v>
      </c>
      <c r="B1680">
        <v>5.31</v>
      </c>
      <c r="C1680" s="11">
        <f t="shared" si="104"/>
        <v>5.3099999999999994E-2</v>
      </c>
      <c r="D1680">
        <f t="shared" si="105"/>
        <v>2003</v>
      </c>
      <c r="E1680" t="str">
        <f t="shared" si="106"/>
        <v>May-2003</v>
      </c>
      <c r="F1680" s="12">
        <f t="shared" si="107"/>
        <v>6.36</v>
      </c>
    </row>
    <row r="1681" spans="1:6" x14ac:dyDescent="0.25">
      <c r="A1681" s="1">
        <v>37778</v>
      </c>
      <c r="B1681">
        <v>5.26</v>
      </c>
      <c r="C1681" s="11">
        <f t="shared" si="104"/>
        <v>5.2600000000000001E-2</v>
      </c>
      <c r="D1681">
        <f t="shared" si="105"/>
        <v>2003</v>
      </c>
      <c r="E1681" t="str">
        <f t="shared" si="106"/>
        <v>Jun-2003</v>
      </c>
      <c r="F1681" s="12">
        <f t="shared" si="107"/>
        <v>6.36</v>
      </c>
    </row>
    <row r="1682" spans="1:6" x14ac:dyDescent="0.25">
      <c r="A1682" s="1">
        <v>37785</v>
      </c>
      <c r="B1682">
        <v>5.21</v>
      </c>
      <c r="C1682" s="11">
        <f t="shared" si="104"/>
        <v>5.21E-2</v>
      </c>
      <c r="D1682">
        <f t="shared" si="105"/>
        <v>2003</v>
      </c>
      <c r="E1682" t="str">
        <f t="shared" si="106"/>
        <v>Jun-2003</v>
      </c>
      <c r="F1682" s="12">
        <f t="shared" si="107"/>
        <v>6.36</v>
      </c>
    </row>
    <row r="1683" spans="1:6" x14ac:dyDescent="0.25">
      <c r="A1683" s="1">
        <v>37792</v>
      </c>
      <c r="B1683">
        <v>5.21</v>
      </c>
      <c r="C1683" s="11">
        <f t="shared" si="104"/>
        <v>5.21E-2</v>
      </c>
      <c r="D1683">
        <f t="shared" si="105"/>
        <v>2003</v>
      </c>
      <c r="E1683" t="str">
        <f t="shared" si="106"/>
        <v>Jun-2003</v>
      </c>
      <c r="F1683" s="12">
        <f t="shared" si="107"/>
        <v>6.36</v>
      </c>
    </row>
    <row r="1684" spans="1:6" x14ac:dyDescent="0.25">
      <c r="A1684" s="1">
        <v>37799</v>
      </c>
      <c r="B1684">
        <v>5.24</v>
      </c>
      <c r="C1684" s="11">
        <f t="shared" si="104"/>
        <v>5.2400000000000002E-2</v>
      </c>
      <c r="D1684">
        <f t="shared" si="105"/>
        <v>2003</v>
      </c>
      <c r="E1684" t="str">
        <f t="shared" si="106"/>
        <v>Jun-2003</v>
      </c>
      <c r="F1684" s="12">
        <f t="shared" si="107"/>
        <v>6.36</v>
      </c>
    </row>
    <row r="1685" spans="1:6" x14ac:dyDescent="0.25">
      <c r="A1685" s="1">
        <v>37806</v>
      </c>
      <c r="B1685">
        <v>5.4</v>
      </c>
      <c r="C1685" s="11">
        <f t="shared" si="104"/>
        <v>5.4000000000000006E-2</v>
      </c>
      <c r="D1685">
        <f t="shared" si="105"/>
        <v>2003</v>
      </c>
      <c r="E1685" t="str">
        <f t="shared" si="106"/>
        <v>Jul-2003</v>
      </c>
      <c r="F1685" s="12">
        <f t="shared" si="107"/>
        <v>6.36</v>
      </c>
    </row>
    <row r="1686" spans="1:6" x14ac:dyDescent="0.25">
      <c r="A1686" s="1">
        <v>37813</v>
      </c>
      <c r="B1686">
        <v>5.52</v>
      </c>
      <c r="C1686" s="11">
        <f t="shared" si="104"/>
        <v>5.5199999999999999E-2</v>
      </c>
      <c r="D1686">
        <f t="shared" si="105"/>
        <v>2003</v>
      </c>
      <c r="E1686" t="str">
        <f t="shared" si="106"/>
        <v>Jul-2003</v>
      </c>
      <c r="F1686" s="12">
        <f t="shared" si="107"/>
        <v>6.36</v>
      </c>
    </row>
    <row r="1687" spans="1:6" x14ac:dyDescent="0.25">
      <c r="A1687" s="1">
        <v>37820</v>
      </c>
      <c r="B1687">
        <v>5.67</v>
      </c>
      <c r="C1687" s="11">
        <f t="shared" si="104"/>
        <v>5.67E-2</v>
      </c>
      <c r="D1687">
        <f t="shared" si="105"/>
        <v>2003</v>
      </c>
      <c r="E1687" t="str">
        <f t="shared" si="106"/>
        <v>Jul-2003</v>
      </c>
      <c r="F1687" s="12">
        <f t="shared" si="107"/>
        <v>6.36</v>
      </c>
    </row>
    <row r="1688" spans="1:6" x14ac:dyDescent="0.25">
      <c r="A1688" s="1">
        <v>37827</v>
      </c>
      <c r="B1688">
        <v>5.94</v>
      </c>
      <c r="C1688" s="11">
        <f t="shared" si="104"/>
        <v>5.9400000000000001E-2</v>
      </c>
      <c r="D1688">
        <f t="shared" si="105"/>
        <v>2003</v>
      </c>
      <c r="E1688" t="str">
        <f t="shared" si="106"/>
        <v>Jul-2003</v>
      </c>
      <c r="F1688" s="12">
        <f t="shared" si="107"/>
        <v>6.36</v>
      </c>
    </row>
    <row r="1689" spans="1:6" x14ac:dyDescent="0.25">
      <c r="A1689" s="1">
        <v>37834</v>
      </c>
      <c r="B1689">
        <v>6.14</v>
      </c>
      <c r="C1689" s="11">
        <f t="shared" si="104"/>
        <v>6.1399999999999996E-2</v>
      </c>
      <c r="D1689">
        <f t="shared" si="105"/>
        <v>2003</v>
      </c>
      <c r="E1689" t="str">
        <f t="shared" si="106"/>
        <v>Aug-2003</v>
      </c>
      <c r="F1689" s="12">
        <f t="shared" si="107"/>
        <v>6.36</v>
      </c>
    </row>
    <row r="1690" spans="1:6" x14ac:dyDescent="0.25">
      <c r="A1690" s="1">
        <v>37841</v>
      </c>
      <c r="B1690">
        <v>6.34</v>
      </c>
      <c r="C1690" s="11">
        <f t="shared" si="104"/>
        <v>6.3399999999999998E-2</v>
      </c>
      <c r="D1690">
        <f t="shared" si="105"/>
        <v>2003</v>
      </c>
      <c r="E1690" t="str">
        <f t="shared" si="106"/>
        <v>Aug-2003</v>
      </c>
      <c r="F1690" s="12">
        <f t="shared" si="107"/>
        <v>6.36</v>
      </c>
    </row>
    <row r="1691" spans="1:6" x14ac:dyDescent="0.25">
      <c r="A1691" s="1">
        <v>37848</v>
      </c>
      <c r="B1691">
        <v>6.24</v>
      </c>
      <c r="C1691" s="11">
        <f t="shared" si="104"/>
        <v>6.2400000000000004E-2</v>
      </c>
      <c r="D1691">
        <f t="shared" si="105"/>
        <v>2003</v>
      </c>
      <c r="E1691" t="str">
        <f t="shared" si="106"/>
        <v>Aug-2003</v>
      </c>
      <c r="F1691" s="12">
        <f t="shared" si="107"/>
        <v>6.36</v>
      </c>
    </row>
    <row r="1692" spans="1:6" x14ac:dyDescent="0.25">
      <c r="A1692" s="1">
        <v>37855</v>
      </c>
      <c r="B1692">
        <v>6.28</v>
      </c>
      <c r="C1692" s="11">
        <f t="shared" si="104"/>
        <v>6.2800000000000009E-2</v>
      </c>
      <c r="D1692">
        <f t="shared" si="105"/>
        <v>2003</v>
      </c>
      <c r="E1692" t="str">
        <f t="shared" si="106"/>
        <v>Aug-2003</v>
      </c>
      <c r="F1692" s="12">
        <f t="shared" si="107"/>
        <v>6.36</v>
      </c>
    </row>
    <row r="1693" spans="1:6" x14ac:dyDescent="0.25">
      <c r="A1693" s="1">
        <v>37862</v>
      </c>
      <c r="B1693">
        <v>6.32</v>
      </c>
      <c r="C1693" s="11">
        <f t="shared" si="104"/>
        <v>6.3200000000000006E-2</v>
      </c>
      <c r="D1693">
        <f t="shared" si="105"/>
        <v>2003</v>
      </c>
      <c r="E1693" t="str">
        <f t="shared" si="106"/>
        <v>Aug-2003</v>
      </c>
      <c r="F1693" s="12">
        <f t="shared" si="107"/>
        <v>6.36</v>
      </c>
    </row>
    <row r="1694" spans="1:6" x14ac:dyDescent="0.25">
      <c r="A1694" s="1">
        <v>37869</v>
      </c>
      <c r="B1694">
        <v>6.44</v>
      </c>
      <c r="C1694" s="11">
        <f t="shared" si="104"/>
        <v>6.4399999999999999E-2</v>
      </c>
      <c r="D1694">
        <f t="shared" si="105"/>
        <v>2003</v>
      </c>
      <c r="E1694" t="str">
        <f t="shared" si="106"/>
        <v>Sep-2003</v>
      </c>
      <c r="F1694" s="12">
        <f t="shared" si="107"/>
        <v>6.36</v>
      </c>
    </row>
    <row r="1695" spans="1:6" x14ac:dyDescent="0.25">
      <c r="A1695" s="1">
        <v>37876</v>
      </c>
      <c r="B1695">
        <v>6.16</v>
      </c>
      <c r="C1695" s="11">
        <f t="shared" si="104"/>
        <v>6.1600000000000002E-2</v>
      </c>
      <c r="D1695">
        <f t="shared" si="105"/>
        <v>2003</v>
      </c>
      <c r="E1695" t="str">
        <f t="shared" si="106"/>
        <v>Sep-2003</v>
      </c>
      <c r="F1695" s="12">
        <f t="shared" si="107"/>
        <v>6.36</v>
      </c>
    </row>
    <row r="1696" spans="1:6" x14ac:dyDescent="0.25">
      <c r="A1696" s="1">
        <v>37883</v>
      </c>
      <c r="B1696">
        <v>6.01</v>
      </c>
      <c r="C1696" s="11">
        <f t="shared" si="104"/>
        <v>6.0100000000000001E-2</v>
      </c>
      <c r="D1696">
        <f t="shared" si="105"/>
        <v>2003</v>
      </c>
      <c r="E1696" t="str">
        <f t="shared" si="106"/>
        <v>Sep-2003</v>
      </c>
      <c r="F1696" s="12">
        <f t="shared" si="107"/>
        <v>6.36</v>
      </c>
    </row>
    <row r="1697" spans="1:6" x14ac:dyDescent="0.25">
      <c r="A1697" s="1">
        <v>37890</v>
      </c>
      <c r="B1697">
        <v>5.98</v>
      </c>
      <c r="C1697" s="11">
        <f t="shared" si="104"/>
        <v>5.9800000000000006E-2</v>
      </c>
      <c r="D1697">
        <f t="shared" si="105"/>
        <v>2003</v>
      </c>
      <c r="E1697" t="str">
        <f t="shared" si="106"/>
        <v>Sep-2003</v>
      </c>
      <c r="F1697" s="12">
        <f t="shared" si="107"/>
        <v>6.36</v>
      </c>
    </row>
    <row r="1698" spans="1:6" x14ac:dyDescent="0.25">
      <c r="A1698" s="1">
        <v>37897</v>
      </c>
      <c r="B1698">
        <v>5.77</v>
      </c>
      <c r="C1698" s="11">
        <f t="shared" si="104"/>
        <v>5.7699999999999994E-2</v>
      </c>
      <c r="D1698">
        <f t="shared" si="105"/>
        <v>2003</v>
      </c>
      <c r="E1698" t="str">
        <f t="shared" si="106"/>
        <v>Oct-2003</v>
      </c>
      <c r="F1698" s="12">
        <f t="shared" si="107"/>
        <v>6.36</v>
      </c>
    </row>
    <row r="1699" spans="1:6" x14ac:dyDescent="0.25">
      <c r="A1699" s="1">
        <v>37904</v>
      </c>
      <c r="B1699">
        <v>5.95</v>
      </c>
      <c r="C1699" s="11">
        <f t="shared" si="104"/>
        <v>5.9500000000000004E-2</v>
      </c>
      <c r="D1699">
        <f t="shared" si="105"/>
        <v>2003</v>
      </c>
      <c r="E1699" t="str">
        <f t="shared" si="106"/>
        <v>Oct-2003</v>
      </c>
      <c r="F1699" s="12">
        <f t="shared" si="107"/>
        <v>6.36</v>
      </c>
    </row>
    <row r="1700" spans="1:6" x14ac:dyDescent="0.25">
      <c r="A1700" s="1">
        <v>37911</v>
      </c>
      <c r="B1700">
        <v>6.05</v>
      </c>
      <c r="C1700" s="11">
        <f t="shared" si="104"/>
        <v>6.0499999999999998E-2</v>
      </c>
      <c r="D1700">
        <f t="shared" si="105"/>
        <v>2003</v>
      </c>
      <c r="E1700" t="str">
        <f t="shared" si="106"/>
        <v>Oct-2003</v>
      </c>
      <c r="F1700" s="12">
        <f t="shared" si="107"/>
        <v>6.36</v>
      </c>
    </row>
    <row r="1701" spans="1:6" x14ac:dyDescent="0.25">
      <c r="A1701" s="1">
        <v>37918</v>
      </c>
      <c r="B1701">
        <v>6.05</v>
      </c>
      <c r="C1701" s="11">
        <f t="shared" si="104"/>
        <v>6.0499999999999998E-2</v>
      </c>
      <c r="D1701">
        <f t="shared" si="105"/>
        <v>2003</v>
      </c>
      <c r="E1701" t="str">
        <f t="shared" si="106"/>
        <v>Oct-2003</v>
      </c>
      <c r="F1701" s="12">
        <f t="shared" si="107"/>
        <v>6.36</v>
      </c>
    </row>
    <row r="1702" spans="1:6" x14ac:dyDescent="0.25">
      <c r="A1702" s="1">
        <v>37925</v>
      </c>
      <c r="B1702">
        <v>5.94</v>
      </c>
      <c r="C1702" s="11">
        <f t="shared" si="104"/>
        <v>5.9400000000000001E-2</v>
      </c>
      <c r="D1702">
        <f t="shared" si="105"/>
        <v>2003</v>
      </c>
      <c r="E1702" t="str">
        <f t="shared" si="106"/>
        <v>Oct-2003</v>
      </c>
      <c r="F1702" s="12">
        <f t="shared" si="107"/>
        <v>6.36</v>
      </c>
    </row>
    <row r="1703" spans="1:6" x14ac:dyDescent="0.25">
      <c r="A1703" s="1">
        <v>37932</v>
      </c>
      <c r="B1703">
        <v>5.98</v>
      </c>
      <c r="C1703" s="11">
        <f t="shared" si="104"/>
        <v>5.9800000000000006E-2</v>
      </c>
      <c r="D1703">
        <f t="shared" si="105"/>
        <v>2003</v>
      </c>
      <c r="E1703" t="str">
        <f t="shared" si="106"/>
        <v>Nov-2003</v>
      </c>
      <c r="F1703" s="12">
        <f t="shared" si="107"/>
        <v>6.36</v>
      </c>
    </row>
    <row r="1704" spans="1:6" x14ac:dyDescent="0.25">
      <c r="A1704" s="1">
        <v>37939</v>
      </c>
      <c r="B1704">
        <v>6.03</v>
      </c>
      <c r="C1704" s="11">
        <f t="shared" si="104"/>
        <v>6.0299999999999999E-2</v>
      </c>
      <c r="D1704">
        <f t="shared" si="105"/>
        <v>2003</v>
      </c>
      <c r="E1704" t="str">
        <f t="shared" si="106"/>
        <v>Nov-2003</v>
      </c>
      <c r="F1704" s="12">
        <f t="shared" si="107"/>
        <v>6.36</v>
      </c>
    </row>
    <row r="1705" spans="1:6" x14ac:dyDescent="0.25">
      <c r="A1705" s="1">
        <v>37946</v>
      </c>
      <c r="B1705">
        <v>5.83</v>
      </c>
      <c r="C1705" s="11">
        <f t="shared" si="104"/>
        <v>5.8299999999999998E-2</v>
      </c>
      <c r="D1705">
        <f t="shared" si="105"/>
        <v>2003</v>
      </c>
      <c r="E1705" t="str">
        <f t="shared" si="106"/>
        <v>Nov-2003</v>
      </c>
      <c r="F1705" s="12">
        <f t="shared" si="107"/>
        <v>6.36</v>
      </c>
    </row>
    <row r="1706" spans="1:6" x14ac:dyDescent="0.25">
      <c r="A1706" s="1">
        <v>37953</v>
      </c>
      <c r="B1706">
        <v>5.89</v>
      </c>
      <c r="C1706" s="11">
        <f t="shared" si="104"/>
        <v>5.8899999999999994E-2</v>
      </c>
      <c r="D1706">
        <f t="shared" si="105"/>
        <v>2003</v>
      </c>
      <c r="E1706" t="str">
        <f t="shared" si="106"/>
        <v>Nov-2003</v>
      </c>
      <c r="F1706" s="12">
        <f t="shared" si="107"/>
        <v>6.36</v>
      </c>
    </row>
    <row r="1707" spans="1:6" x14ac:dyDescent="0.25">
      <c r="A1707" s="1">
        <v>37960</v>
      </c>
      <c r="B1707">
        <v>6.02</v>
      </c>
      <c r="C1707" s="11">
        <f t="shared" si="104"/>
        <v>6.0199999999999997E-2</v>
      </c>
      <c r="D1707">
        <f t="shared" si="105"/>
        <v>2003</v>
      </c>
      <c r="E1707" t="str">
        <f t="shared" si="106"/>
        <v>Dec-2003</v>
      </c>
      <c r="F1707" s="12">
        <f t="shared" si="107"/>
        <v>6.36</v>
      </c>
    </row>
    <row r="1708" spans="1:6" x14ac:dyDescent="0.25">
      <c r="A1708" s="1">
        <v>37967</v>
      </c>
      <c r="B1708">
        <v>5.88</v>
      </c>
      <c r="C1708" s="11">
        <f t="shared" si="104"/>
        <v>5.8799999999999998E-2</v>
      </c>
      <c r="D1708">
        <f t="shared" si="105"/>
        <v>2003</v>
      </c>
      <c r="E1708" t="str">
        <f t="shared" si="106"/>
        <v>Dec-2003</v>
      </c>
      <c r="F1708" s="12">
        <f t="shared" si="107"/>
        <v>6.36</v>
      </c>
    </row>
    <row r="1709" spans="1:6" x14ac:dyDescent="0.25">
      <c r="A1709" s="1">
        <v>37974</v>
      </c>
      <c r="B1709">
        <v>5.82</v>
      </c>
      <c r="C1709" s="11">
        <f t="shared" si="104"/>
        <v>5.8200000000000002E-2</v>
      </c>
      <c r="D1709">
        <f t="shared" si="105"/>
        <v>2003</v>
      </c>
      <c r="E1709" t="str">
        <f t="shared" si="106"/>
        <v>Dec-2003</v>
      </c>
      <c r="F1709" s="12">
        <f t="shared" si="107"/>
        <v>6.36</v>
      </c>
    </row>
    <row r="1710" spans="1:6" x14ac:dyDescent="0.25">
      <c r="A1710" s="1">
        <v>37981</v>
      </c>
      <c r="B1710">
        <v>5.81</v>
      </c>
      <c r="C1710" s="11">
        <f t="shared" si="104"/>
        <v>5.8099999999999999E-2</v>
      </c>
      <c r="D1710">
        <f t="shared" si="105"/>
        <v>2003</v>
      </c>
      <c r="E1710" t="str">
        <f t="shared" si="106"/>
        <v>Dec-2003</v>
      </c>
      <c r="F1710" s="12">
        <f t="shared" si="107"/>
        <v>6.36</v>
      </c>
    </row>
    <row r="1711" spans="1:6" x14ac:dyDescent="0.25">
      <c r="A1711" s="1">
        <v>37986</v>
      </c>
      <c r="B1711">
        <v>5.85</v>
      </c>
      <c r="C1711" s="11">
        <f t="shared" si="104"/>
        <v>5.8499999999999996E-2</v>
      </c>
      <c r="D1711">
        <f t="shared" si="105"/>
        <v>2003</v>
      </c>
      <c r="E1711" t="str">
        <f t="shared" si="106"/>
        <v>Dec-2003</v>
      </c>
      <c r="F1711" s="12">
        <f t="shared" si="107"/>
        <v>6.36</v>
      </c>
    </row>
    <row r="1712" spans="1:6" x14ac:dyDescent="0.25">
      <c r="A1712" s="1">
        <v>37994</v>
      </c>
      <c r="B1712">
        <v>5.87</v>
      </c>
      <c r="C1712" s="11">
        <f t="shared" si="104"/>
        <v>5.8700000000000002E-2</v>
      </c>
      <c r="D1712">
        <f t="shared" si="105"/>
        <v>2004</v>
      </c>
      <c r="E1712" t="str">
        <f t="shared" si="106"/>
        <v>Jan-2004</v>
      </c>
      <c r="F1712" s="12">
        <f t="shared" si="107"/>
        <v>6.36</v>
      </c>
    </row>
    <row r="1713" spans="1:6" x14ac:dyDescent="0.25">
      <c r="A1713" s="1">
        <v>38001</v>
      </c>
      <c r="B1713">
        <v>5.66</v>
      </c>
      <c r="C1713" s="11">
        <f t="shared" si="104"/>
        <v>5.6600000000000004E-2</v>
      </c>
      <c r="D1713">
        <f t="shared" si="105"/>
        <v>2004</v>
      </c>
      <c r="E1713" t="str">
        <f t="shared" si="106"/>
        <v>Jan-2004</v>
      </c>
      <c r="F1713" s="12">
        <f t="shared" si="107"/>
        <v>6.36</v>
      </c>
    </row>
    <row r="1714" spans="1:6" x14ac:dyDescent="0.25">
      <c r="A1714" s="1">
        <v>38008</v>
      </c>
      <c r="B1714">
        <v>5.64</v>
      </c>
      <c r="C1714" s="11">
        <f t="shared" si="104"/>
        <v>5.6399999999999999E-2</v>
      </c>
      <c r="D1714">
        <f t="shared" si="105"/>
        <v>2004</v>
      </c>
      <c r="E1714" t="str">
        <f t="shared" si="106"/>
        <v>Jan-2004</v>
      </c>
      <c r="F1714" s="12">
        <f t="shared" si="107"/>
        <v>6.36</v>
      </c>
    </row>
    <row r="1715" spans="1:6" x14ac:dyDescent="0.25">
      <c r="A1715" s="1">
        <v>38015</v>
      </c>
      <c r="B1715">
        <v>5.68</v>
      </c>
      <c r="C1715" s="11">
        <f t="shared" si="104"/>
        <v>5.6799999999999996E-2</v>
      </c>
      <c r="D1715">
        <f t="shared" si="105"/>
        <v>2004</v>
      </c>
      <c r="E1715" t="str">
        <f t="shared" si="106"/>
        <v>Jan-2004</v>
      </c>
      <c r="F1715" s="12">
        <f t="shared" si="107"/>
        <v>6.36</v>
      </c>
    </row>
    <row r="1716" spans="1:6" x14ac:dyDescent="0.25">
      <c r="A1716" s="1">
        <v>38022</v>
      </c>
      <c r="B1716">
        <v>5.72</v>
      </c>
      <c r="C1716" s="11">
        <f t="shared" si="104"/>
        <v>5.7200000000000001E-2</v>
      </c>
      <c r="D1716">
        <f t="shared" si="105"/>
        <v>2004</v>
      </c>
      <c r="E1716" t="str">
        <f t="shared" si="106"/>
        <v>Feb-2004</v>
      </c>
      <c r="F1716" s="12">
        <f t="shared" si="107"/>
        <v>6.36</v>
      </c>
    </row>
    <row r="1717" spans="1:6" x14ac:dyDescent="0.25">
      <c r="A1717" s="1">
        <v>38029</v>
      </c>
      <c r="B1717">
        <v>5.66</v>
      </c>
      <c r="C1717" s="11">
        <f t="shared" si="104"/>
        <v>5.6600000000000004E-2</v>
      </c>
      <c r="D1717">
        <f t="shared" si="105"/>
        <v>2004</v>
      </c>
      <c r="E1717" t="str">
        <f t="shared" si="106"/>
        <v>Feb-2004</v>
      </c>
      <c r="F1717" s="12">
        <f t="shared" si="107"/>
        <v>6.36</v>
      </c>
    </row>
    <row r="1718" spans="1:6" x14ac:dyDescent="0.25">
      <c r="A1718" s="1">
        <v>38036</v>
      </c>
      <c r="B1718">
        <v>5.58</v>
      </c>
      <c r="C1718" s="11">
        <f t="shared" si="104"/>
        <v>5.5800000000000002E-2</v>
      </c>
      <c r="D1718">
        <f t="shared" si="105"/>
        <v>2004</v>
      </c>
      <c r="E1718" t="str">
        <f t="shared" si="106"/>
        <v>Feb-2004</v>
      </c>
      <c r="F1718" s="12">
        <f t="shared" si="107"/>
        <v>6.36</v>
      </c>
    </row>
    <row r="1719" spans="1:6" x14ac:dyDescent="0.25">
      <c r="A1719" s="1">
        <v>38043</v>
      </c>
      <c r="B1719">
        <v>5.58</v>
      </c>
      <c r="C1719" s="11">
        <f t="shared" si="104"/>
        <v>5.5800000000000002E-2</v>
      </c>
      <c r="D1719">
        <f t="shared" si="105"/>
        <v>2004</v>
      </c>
      <c r="E1719" t="str">
        <f t="shared" si="106"/>
        <v>Feb-2004</v>
      </c>
      <c r="F1719" s="12">
        <f t="shared" si="107"/>
        <v>6.36</v>
      </c>
    </row>
    <row r="1720" spans="1:6" x14ac:dyDescent="0.25">
      <c r="A1720" s="1">
        <v>38050</v>
      </c>
      <c r="B1720">
        <v>5.59</v>
      </c>
      <c r="C1720" s="11">
        <f t="shared" si="104"/>
        <v>5.5899999999999998E-2</v>
      </c>
      <c r="D1720">
        <f t="shared" si="105"/>
        <v>2004</v>
      </c>
      <c r="E1720" t="str">
        <f t="shared" si="106"/>
        <v>Mar-2004</v>
      </c>
      <c r="F1720" s="12">
        <f t="shared" si="107"/>
        <v>6.36</v>
      </c>
    </row>
    <row r="1721" spans="1:6" x14ac:dyDescent="0.25">
      <c r="A1721" s="1">
        <v>38057</v>
      </c>
      <c r="B1721">
        <v>5.41</v>
      </c>
      <c r="C1721" s="11">
        <f t="shared" si="104"/>
        <v>5.4100000000000002E-2</v>
      </c>
      <c r="D1721">
        <f t="shared" si="105"/>
        <v>2004</v>
      </c>
      <c r="E1721" t="str">
        <f t="shared" si="106"/>
        <v>Mar-2004</v>
      </c>
      <c r="F1721" s="12">
        <f t="shared" si="107"/>
        <v>6.36</v>
      </c>
    </row>
    <row r="1722" spans="1:6" x14ac:dyDescent="0.25">
      <c r="A1722" s="1">
        <v>38064</v>
      </c>
      <c r="B1722">
        <v>5.38</v>
      </c>
      <c r="C1722" s="11">
        <f t="shared" si="104"/>
        <v>5.3800000000000001E-2</v>
      </c>
      <c r="D1722">
        <f t="shared" si="105"/>
        <v>2004</v>
      </c>
      <c r="E1722" t="str">
        <f t="shared" si="106"/>
        <v>Mar-2004</v>
      </c>
      <c r="F1722" s="12">
        <f t="shared" si="107"/>
        <v>6.36</v>
      </c>
    </row>
    <row r="1723" spans="1:6" x14ac:dyDescent="0.25">
      <c r="A1723" s="1">
        <v>38071</v>
      </c>
      <c r="B1723">
        <v>5.4</v>
      </c>
      <c r="C1723" s="11">
        <f t="shared" si="104"/>
        <v>5.4000000000000006E-2</v>
      </c>
      <c r="D1723">
        <f t="shared" si="105"/>
        <v>2004</v>
      </c>
      <c r="E1723" t="str">
        <f t="shared" si="106"/>
        <v>Mar-2004</v>
      </c>
      <c r="F1723" s="12">
        <f t="shared" si="107"/>
        <v>6.36</v>
      </c>
    </row>
    <row r="1724" spans="1:6" x14ac:dyDescent="0.25">
      <c r="A1724" s="1">
        <v>38078</v>
      </c>
      <c r="B1724">
        <v>5.52</v>
      </c>
      <c r="C1724" s="11">
        <f t="shared" si="104"/>
        <v>5.5199999999999999E-2</v>
      </c>
      <c r="D1724">
        <f t="shared" si="105"/>
        <v>2004</v>
      </c>
      <c r="E1724" t="str">
        <f t="shared" si="106"/>
        <v>Apr-2004</v>
      </c>
      <c r="F1724" s="12">
        <f t="shared" si="107"/>
        <v>6.36</v>
      </c>
    </row>
    <row r="1725" spans="1:6" x14ac:dyDescent="0.25">
      <c r="A1725" s="1">
        <v>38085</v>
      </c>
      <c r="B1725">
        <v>5.79</v>
      </c>
      <c r="C1725" s="11">
        <f t="shared" si="104"/>
        <v>5.79E-2</v>
      </c>
      <c r="D1725">
        <f t="shared" si="105"/>
        <v>2004</v>
      </c>
      <c r="E1725" t="str">
        <f t="shared" si="106"/>
        <v>Apr-2004</v>
      </c>
      <c r="F1725" s="12">
        <f t="shared" si="107"/>
        <v>6.36</v>
      </c>
    </row>
    <row r="1726" spans="1:6" x14ac:dyDescent="0.25">
      <c r="A1726" s="1">
        <v>38092</v>
      </c>
      <c r="B1726">
        <v>5.89</v>
      </c>
      <c r="C1726" s="11">
        <f t="shared" si="104"/>
        <v>5.8899999999999994E-2</v>
      </c>
      <c r="D1726">
        <f t="shared" si="105"/>
        <v>2004</v>
      </c>
      <c r="E1726" t="str">
        <f t="shared" si="106"/>
        <v>Apr-2004</v>
      </c>
      <c r="F1726" s="12">
        <f t="shared" si="107"/>
        <v>6.36</v>
      </c>
    </row>
    <row r="1727" spans="1:6" x14ac:dyDescent="0.25">
      <c r="A1727" s="1">
        <v>38099</v>
      </c>
      <c r="B1727">
        <v>5.94</v>
      </c>
      <c r="C1727" s="11">
        <f t="shared" si="104"/>
        <v>5.9400000000000001E-2</v>
      </c>
      <c r="D1727">
        <f t="shared" si="105"/>
        <v>2004</v>
      </c>
      <c r="E1727" t="str">
        <f t="shared" si="106"/>
        <v>Apr-2004</v>
      </c>
      <c r="F1727" s="12">
        <f t="shared" si="107"/>
        <v>6.36</v>
      </c>
    </row>
    <row r="1728" spans="1:6" x14ac:dyDescent="0.25">
      <c r="A1728" s="1">
        <v>38106</v>
      </c>
      <c r="B1728">
        <v>6.01</v>
      </c>
      <c r="C1728" s="11">
        <f t="shared" si="104"/>
        <v>6.0100000000000001E-2</v>
      </c>
      <c r="D1728">
        <f t="shared" si="105"/>
        <v>2004</v>
      </c>
      <c r="E1728" t="str">
        <f t="shared" si="106"/>
        <v>Apr-2004</v>
      </c>
      <c r="F1728" s="12">
        <f t="shared" si="107"/>
        <v>6.36</v>
      </c>
    </row>
    <row r="1729" spans="1:6" x14ac:dyDescent="0.25">
      <c r="A1729" s="1">
        <v>38113</v>
      </c>
      <c r="B1729">
        <v>6.12</v>
      </c>
      <c r="C1729" s="11">
        <f t="shared" si="104"/>
        <v>6.1200000000000004E-2</v>
      </c>
      <c r="D1729">
        <f t="shared" si="105"/>
        <v>2004</v>
      </c>
      <c r="E1729" t="str">
        <f t="shared" si="106"/>
        <v>May-2004</v>
      </c>
      <c r="F1729" s="12">
        <f t="shared" si="107"/>
        <v>6.36</v>
      </c>
    </row>
    <row r="1730" spans="1:6" x14ac:dyDescent="0.25">
      <c r="A1730" s="1">
        <v>38120</v>
      </c>
      <c r="B1730">
        <v>6.34</v>
      </c>
      <c r="C1730" s="11">
        <f t="shared" ref="C1730:C1793" si="108">B1730/100</f>
        <v>6.3399999999999998E-2</v>
      </c>
      <c r="D1730">
        <f t="shared" ref="D1730:D1793" si="109">YEAR(A1730)</f>
        <v>2004</v>
      </c>
      <c r="E1730" t="str">
        <f t="shared" ref="E1730:E1793" si="110">TEXT(A1730,"MMM-YYYY")</f>
        <v>May-2004</v>
      </c>
      <c r="F1730" s="12">
        <f t="shared" ref="F1730:F1793" si="111">$H$2</f>
        <v>6.36</v>
      </c>
    </row>
    <row r="1731" spans="1:6" x14ac:dyDescent="0.25">
      <c r="A1731" s="1">
        <v>38127</v>
      </c>
      <c r="B1731">
        <v>6.3</v>
      </c>
      <c r="C1731" s="11">
        <f t="shared" si="108"/>
        <v>6.3E-2</v>
      </c>
      <c r="D1731">
        <f t="shared" si="109"/>
        <v>2004</v>
      </c>
      <c r="E1731" t="str">
        <f t="shared" si="110"/>
        <v>May-2004</v>
      </c>
      <c r="F1731" s="12">
        <f t="shared" si="111"/>
        <v>6.36</v>
      </c>
    </row>
    <row r="1732" spans="1:6" x14ac:dyDescent="0.25">
      <c r="A1732" s="1">
        <v>38134</v>
      </c>
      <c r="B1732">
        <v>6.32</v>
      </c>
      <c r="C1732" s="11">
        <f t="shared" si="108"/>
        <v>6.3200000000000006E-2</v>
      </c>
      <c r="D1732">
        <f t="shared" si="109"/>
        <v>2004</v>
      </c>
      <c r="E1732" t="str">
        <f t="shared" si="110"/>
        <v>May-2004</v>
      </c>
      <c r="F1732" s="12">
        <f t="shared" si="111"/>
        <v>6.36</v>
      </c>
    </row>
    <row r="1733" spans="1:6" x14ac:dyDescent="0.25">
      <c r="A1733" s="1">
        <v>38141</v>
      </c>
      <c r="B1733">
        <v>6.28</v>
      </c>
      <c r="C1733" s="11">
        <f t="shared" si="108"/>
        <v>6.2800000000000009E-2</v>
      </c>
      <c r="D1733">
        <f t="shared" si="109"/>
        <v>2004</v>
      </c>
      <c r="E1733" t="str">
        <f t="shared" si="110"/>
        <v>Jun-2004</v>
      </c>
      <c r="F1733" s="12">
        <f t="shared" si="111"/>
        <v>6.36</v>
      </c>
    </row>
    <row r="1734" spans="1:6" x14ac:dyDescent="0.25">
      <c r="A1734" s="1">
        <v>38148</v>
      </c>
      <c r="B1734">
        <v>6.3</v>
      </c>
      <c r="C1734" s="11">
        <f t="shared" si="108"/>
        <v>6.3E-2</v>
      </c>
      <c r="D1734">
        <f t="shared" si="109"/>
        <v>2004</v>
      </c>
      <c r="E1734" t="str">
        <f t="shared" si="110"/>
        <v>Jun-2004</v>
      </c>
      <c r="F1734" s="12">
        <f t="shared" si="111"/>
        <v>6.36</v>
      </c>
    </row>
    <row r="1735" spans="1:6" x14ac:dyDescent="0.25">
      <c r="A1735" s="1">
        <v>38155</v>
      </c>
      <c r="B1735">
        <v>6.32</v>
      </c>
      <c r="C1735" s="11">
        <f t="shared" si="108"/>
        <v>6.3200000000000006E-2</v>
      </c>
      <c r="D1735">
        <f t="shared" si="109"/>
        <v>2004</v>
      </c>
      <c r="E1735" t="str">
        <f t="shared" si="110"/>
        <v>Jun-2004</v>
      </c>
      <c r="F1735" s="12">
        <f t="shared" si="111"/>
        <v>6.36</v>
      </c>
    </row>
    <row r="1736" spans="1:6" x14ac:dyDescent="0.25">
      <c r="A1736" s="1">
        <v>38162</v>
      </c>
      <c r="B1736">
        <v>6.25</v>
      </c>
      <c r="C1736" s="11">
        <f t="shared" si="108"/>
        <v>6.25E-2</v>
      </c>
      <c r="D1736">
        <f t="shared" si="109"/>
        <v>2004</v>
      </c>
      <c r="E1736" t="str">
        <f t="shared" si="110"/>
        <v>Jun-2004</v>
      </c>
      <c r="F1736" s="12">
        <f t="shared" si="111"/>
        <v>6.36</v>
      </c>
    </row>
    <row r="1737" spans="1:6" x14ac:dyDescent="0.25">
      <c r="A1737" s="1">
        <v>38169</v>
      </c>
      <c r="B1737">
        <v>6.21</v>
      </c>
      <c r="C1737" s="11">
        <f t="shared" si="108"/>
        <v>6.2100000000000002E-2</v>
      </c>
      <c r="D1737">
        <f t="shared" si="109"/>
        <v>2004</v>
      </c>
      <c r="E1737" t="str">
        <f t="shared" si="110"/>
        <v>Jul-2004</v>
      </c>
      <c r="F1737" s="12">
        <f t="shared" si="111"/>
        <v>6.36</v>
      </c>
    </row>
    <row r="1738" spans="1:6" x14ac:dyDescent="0.25">
      <c r="A1738" s="1">
        <v>38176</v>
      </c>
      <c r="B1738">
        <v>6.01</v>
      </c>
      <c r="C1738" s="11">
        <f t="shared" si="108"/>
        <v>6.0100000000000001E-2</v>
      </c>
      <c r="D1738">
        <f t="shared" si="109"/>
        <v>2004</v>
      </c>
      <c r="E1738" t="str">
        <f t="shared" si="110"/>
        <v>Jul-2004</v>
      </c>
      <c r="F1738" s="12">
        <f t="shared" si="111"/>
        <v>6.36</v>
      </c>
    </row>
    <row r="1739" spans="1:6" x14ac:dyDescent="0.25">
      <c r="A1739" s="1">
        <v>38183</v>
      </c>
      <c r="B1739">
        <v>6</v>
      </c>
      <c r="C1739" s="11">
        <f t="shared" si="108"/>
        <v>0.06</v>
      </c>
      <c r="D1739">
        <f t="shared" si="109"/>
        <v>2004</v>
      </c>
      <c r="E1739" t="str">
        <f t="shared" si="110"/>
        <v>Jul-2004</v>
      </c>
      <c r="F1739" s="12">
        <f t="shared" si="111"/>
        <v>6.36</v>
      </c>
    </row>
    <row r="1740" spans="1:6" x14ac:dyDescent="0.25">
      <c r="A1740" s="1">
        <v>38190</v>
      </c>
      <c r="B1740">
        <v>5.98</v>
      </c>
      <c r="C1740" s="11">
        <f t="shared" si="108"/>
        <v>5.9800000000000006E-2</v>
      </c>
      <c r="D1740">
        <f t="shared" si="109"/>
        <v>2004</v>
      </c>
      <c r="E1740" t="str">
        <f t="shared" si="110"/>
        <v>Jul-2004</v>
      </c>
      <c r="F1740" s="12">
        <f t="shared" si="111"/>
        <v>6.36</v>
      </c>
    </row>
    <row r="1741" spans="1:6" x14ac:dyDescent="0.25">
      <c r="A1741" s="1">
        <v>38197</v>
      </c>
      <c r="B1741">
        <v>6.08</v>
      </c>
      <c r="C1741" s="11">
        <f t="shared" si="108"/>
        <v>6.08E-2</v>
      </c>
      <c r="D1741">
        <f t="shared" si="109"/>
        <v>2004</v>
      </c>
      <c r="E1741" t="str">
        <f t="shared" si="110"/>
        <v>Jul-2004</v>
      </c>
      <c r="F1741" s="12">
        <f t="shared" si="111"/>
        <v>6.36</v>
      </c>
    </row>
    <row r="1742" spans="1:6" x14ac:dyDescent="0.25">
      <c r="A1742" s="1">
        <v>38204</v>
      </c>
      <c r="B1742">
        <v>5.99</v>
      </c>
      <c r="C1742" s="11">
        <f t="shared" si="108"/>
        <v>5.9900000000000002E-2</v>
      </c>
      <c r="D1742">
        <f t="shared" si="109"/>
        <v>2004</v>
      </c>
      <c r="E1742" t="str">
        <f t="shared" si="110"/>
        <v>Aug-2004</v>
      </c>
      <c r="F1742" s="12">
        <f t="shared" si="111"/>
        <v>6.36</v>
      </c>
    </row>
    <row r="1743" spans="1:6" x14ac:dyDescent="0.25">
      <c r="A1743" s="1">
        <v>38211</v>
      </c>
      <c r="B1743">
        <v>5.85</v>
      </c>
      <c r="C1743" s="11">
        <f t="shared" si="108"/>
        <v>5.8499999999999996E-2</v>
      </c>
      <c r="D1743">
        <f t="shared" si="109"/>
        <v>2004</v>
      </c>
      <c r="E1743" t="str">
        <f t="shared" si="110"/>
        <v>Aug-2004</v>
      </c>
      <c r="F1743" s="12">
        <f t="shared" si="111"/>
        <v>6.36</v>
      </c>
    </row>
    <row r="1744" spans="1:6" x14ac:dyDescent="0.25">
      <c r="A1744" s="1">
        <v>38218</v>
      </c>
      <c r="B1744">
        <v>5.81</v>
      </c>
      <c r="C1744" s="11">
        <f t="shared" si="108"/>
        <v>5.8099999999999999E-2</v>
      </c>
      <c r="D1744">
        <f t="shared" si="109"/>
        <v>2004</v>
      </c>
      <c r="E1744" t="str">
        <f t="shared" si="110"/>
        <v>Aug-2004</v>
      </c>
      <c r="F1744" s="12">
        <f t="shared" si="111"/>
        <v>6.36</v>
      </c>
    </row>
    <row r="1745" spans="1:6" x14ac:dyDescent="0.25">
      <c r="A1745" s="1">
        <v>38225</v>
      </c>
      <c r="B1745">
        <v>5.82</v>
      </c>
      <c r="C1745" s="11">
        <f t="shared" si="108"/>
        <v>5.8200000000000002E-2</v>
      </c>
      <c r="D1745">
        <f t="shared" si="109"/>
        <v>2004</v>
      </c>
      <c r="E1745" t="str">
        <f t="shared" si="110"/>
        <v>Aug-2004</v>
      </c>
      <c r="F1745" s="12">
        <f t="shared" si="111"/>
        <v>6.36</v>
      </c>
    </row>
    <row r="1746" spans="1:6" x14ac:dyDescent="0.25">
      <c r="A1746" s="1">
        <v>38232</v>
      </c>
      <c r="B1746">
        <v>5.77</v>
      </c>
      <c r="C1746" s="11">
        <f t="shared" si="108"/>
        <v>5.7699999999999994E-2</v>
      </c>
      <c r="D1746">
        <f t="shared" si="109"/>
        <v>2004</v>
      </c>
      <c r="E1746" t="str">
        <f t="shared" si="110"/>
        <v>Sep-2004</v>
      </c>
      <c r="F1746" s="12">
        <f t="shared" si="111"/>
        <v>6.36</v>
      </c>
    </row>
    <row r="1747" spans="1:6" x14ac:dyDescent="0.25">
      <c r="A1747" s="1">
        <v>38239</v>
      </c>
      <c r="B1747">
        <v>5.83</v>
      </c>
      <c r="C1747" s="11">
        <f t="shared" si="108"/>
        <v>5.8299999999999998E-2</v>
      </c>
      <c r="D1747">
        <f t="shared" si="109"/>
        <v>2004</v>
      </c>
      <c r="E1747" t="str">
        <f t="shared" si="110"/>
        <v>Sep-2004</v>
      </c>
      <c r="F1747" s="12">
        <f t="shared" si="111"/>
        <v>6.36</v>
      </c>
    </row>
    <row r="1748" spans="1:6" x14ac:dyDescent="0.25">
      <c r="A1748" s="1">
        <v>38246</v>
      </c>
      <c r="B1748">
        <v>5.75</v>
      </c>
      <c r="C1748" s="11">
        <f t="shared" si="108"/>
        <v>5.7500000000000002E-2</v>
      </c>
      <c r="D1748">
        <f t="shared" si="109"/>
        <v>2004</v>
      </c>
      <c r="E1748" t="str">
        <f t="shared" si="110"/>
        <v>Sep-2004</v>
      </c>
      <c r="F1748" s="12">
        <f t="shared" si="111"/>
        <v>6.36</v>
      </c>
    </row>
    <row r="1749" spans="1:6" x14ac:dyDescent="0.25">
      <c r="A1749" s="1">
        <v>38253</v>
      </c>
      <c r="B1749">
        <v>5.7</v>
      </c>
      <c r="C1749" s="11">
        <f t="shared" si="108"/>
        <v>5.7000000000000002E-2</v>
      </c>
      <c r="D1749">
        <f t="shared" si="109"/>
        <v>2004</v>
      </c>
      <c r="E1749" t="str">
        <f t="shared" si="110"/>
        <v>Sep-2004</v>
      </c>
      <c r="F1749" s="12">
        <f t="shared" si="111"/>
        <v>6.36</v>
      </c>
    </row>
    <row r="1750" spans="1:6" x14ac:dyDescent="0.25">
      <c r="A1750" s="1">
        <v>38260</v>
      </c>
      <c r="B1750">
        <v>5.72</v>
      </c>
      <c r="C1750" s="11">
        <f t="shared" si="108"/>
        <v>5.7200000000000001E-2</v>
      </c>
      <c r="D1750">
        <f t="shared" si="109"/>
        <v>2004</v>
      </c>
      <c r="E1750" t="str">
        <f t="shared" si="110"/>
        <v>Sep-2004</v>
      </c>
      <c r="F1750" s="12">
        <f t="shared" si="111"/>
        <v>6.36</v>
      </c>
    </row>
    <row r="1751" spans="1:6" x14ac:dyDescent="0.25">
      <c r="A1751" s="1">
        <v>38267</v>
      </c>
      <c r="B1751">
        <v>5.82</v>
      </c>
      <c r="C1751" s="11">
        <f t="shared" si="108"/>
        <v>5.8200000000000002E-2</v>
      </c>
      <c r="D1751">
        <f t="shared" si="109"/>
        <v>2004</v>
      </c>
      <c r="E1751" t="str">
        <f t="shared" si="110"/>
        <v>Oct-2004</v>
      </c>
      <c r="F1751" s="12">
        <f t="shared" si="111"/>
        <v>6.36</v>
      </c>
    </row>
    <row r="1752" spans="1:6" x14ac:dyDescent="0.25">
      <c r="A1752" s="1">
        <v>38274</v>
      </c>
      <c r="B1752">
        <v>5.74</v>
      </c>
      <c r="C1752" s="11">
        <f t="shared" si="108"/>
        <v>5.74E-2</v>
      </c>
      <c r="D1752">
        <f t="shared" si="109"/>
        <v>2004</v>
      </c>
      <c r="E1752" t="str">
        <f t="shared" si="110"/>
        <v>Oct-2004</v>
      </c>
      <c r="F1752" s="12">
        <f t="shared" si="111"/>
        <v>6.36</v>
      </c>
    </row>
    <row r="1753" spans="1:6" x14ac:dyDescent="0.25">
      <c r="A1753" s="1">
        <v>38281</v>
      </c>
      <c r="B1753">
        <v>5.69</v>
      </c>
      <c r="C1753" s="11">
        <f t="shared" si="108"/>
        <v>5.6900000000000006E-2</v>
      </c>
      <c r="D1753">
        <f t="shared" si="109"/>
        <v>2004</v>
      </c>
      <c r="E1753" t="str">
        <f t="shared" si="110"/>
        <v>Oct-2004</v>
      </c>
      <c r="F1753" s="12">
        <f t="shared" si="111"/>
        <v>6.36</v>
      </c>
    </row>
    <row r="1754" spans="1:6" x14ac:dyDescent="0.25">
      <c r="A1754" s="1">
        <v>38288</v>
      </c>
      <c r="B1754">
        <v>5.64</v>
      </c>
      <c r="C1754" s="11">
        <f t="shared" si="108"/>
        <v>5.6399999999999999E-2</v>
      </c>
      <c r="D1754">
        <f t="shared" si="109"/>
        <v>2004</v>
      </c>
      <c r="E1754" t="str">
        <f t="shared" si="110"/>
        <v>Oct-2004</v>
      </c>
      <c r="F1754" s="12">
        <f t="shared" si="111"/>
        <v>6.36</v>
      </c>
    </row>
    <row r="1755" spans="1:6" x14ac:dyDescent="0.25">
      <c r="A1755" s="1">
        <v>38295</v>
      </c>
      <c r="B1755">
        <v>5.7</v>
      </c>
      <c r="C1755" s="11">
        <f t="shared" si="108"/>
        <v>5.7000000000000002E-2</v>
      </c>
      <c r="D1755">
        <f t="shared" si="109"/>
        <v>2004</v>
      </c>
      <c r="E1755" t="str">
        <f t="shared" si="110"/>
        <v>Nov-2004</v>
      </c>
      <c r="F1755" s="12">
        <f t="shared" si="111"/>
        <v>6.36</v>
      </c>
    </row>
    <row r="1756" spans="1:6" x14ac:dyDescent="0.25">
      <c r="A1756" s="1">
        <v>38302</v>
      </c>
      <c r="B1756">
        <v>5.76</v>
      </c>
      <c r="C1756" s="11">
        <f t="shared" si="108"/>
        <v>5.7599999999999998E-2</v>
      </c>
      <c r="D1756">
        <f t="shared" si="109"/>
        <v>2004</v>
      </c>
      <c r="E1756" t="str">
        <f t="shared" si="110"/>
        <v>Nov-2004</v>
      </c>
      <c r="F1756" s="12">
        <f t="shared" si="111"/>
        <v>6.36</v>
      </c>
    </row>
    <row r="1757" spans="1:6" x14ac:dyDescent="0.25">
      <c r="A1757" s="1">
        <v>38309</v>
      </c>
      <c r="B1757">
        <v>5.74</v>
      </c>
      <c r="C1757" s="11">
        <f t="shared" si="108"/>
        <v>5.74E-2</v>
      </c>
      <c r="D1757">
        <f t="shared" si="109"/>
        <v>2004</v>
      </c>
      <c r="E1757" t="str">
        <f t="shared" si="110"/>
        <v>Nov-2004</v>
      </c>
      <c r="F1757" s="12">
        <f t="shared" si="111"/>
        <v>6.36</v>
      </c>
    </row>
    <row r="1758" spans="1:6" x14ac:dyDescent="0.25">
      <c r="A1758" s="1">
        <v>38315</v>
      </c>
      <c r="B1758">
        <v>5.72</v>
      </c>
      <c r="C1758" s="11">
        <f t="shared" si="108"/>
        <v>5.7200000000000001E-2</v>
      </c>
      <c r="D1758">
        <f t="shared" si="109"/>
        <v>2004</v>
      </c>
      <c r="E1758" t="str">
        <f t="shared" si="110"/>
        <v>Nov-2004</v>
      </c>
      <c r="F1758" s="12">
        <f t="shared" si="111"/>
        <v>6.36</v>
      </c>
    </row>
    <row r="1759" spans="1:6" x14ac:dyDescent="0.25">
      <c r="A1759" s="1">
        <v>38323</v>
      </c>
      <c r="B1759">
        <v>5.81</v>
      </c>
      <c r="C1759" s="11">
        <f t="shared" si="108"/>
        <v>5.8099999999999999E-2</v>
      </c>
      <c r="D1759">
        <f t="shared" si="109"/>
        <v>2004</v>
      </c>
      <c r="E1759" t="str">
        <f t="shared" si="110"/>
        <v>Dec-2004</v>
      </c>
      <c r="F1759" s="12">
        <f t="shared" si="111"/>
        <v>6.36</v>
      </c>
    </row>
    <row r="1760" spans="1:6" x14ac:dyDescent="0.25">
      <c r="A1760" s="1">
        <v>38330</v>
      </c>
      <c r="B1760">
        <v>5.71</v>
      </c>
      <c r="C1760" s="11">
        <f t="shared" si="108"/>
        <v>5.7099999999999998E-2</v>
      </c>
      <c r="D1760">
        <f t="shared" si="109"/>
        <v>2004</v>
      </c>
      <c r="E1760" t="str">
        <f t="shared" si="110"/>
        <v>Dec-2004</v>
      </c>
      <c r="F1760" s="12">
        <f t="shared" si="111"/>
        <v>6.36</v>
      </c>
    </row>
    <row r="1761" spans="1:6" x14ac:dyDescent="0.25">
      <c r="A1761" s="1">
        <v>38337</v>
      </c>
      <c r="B1761">
        <v>5.68</v>
      </c>
      <c r="C1761" s="11">
        <f t="shared" si="108"/>
        <v>5.6799999999999996E-2</v>
      </c>
      <c r="D1761">
        <f t="shared" si="109"/>
        <v>2004</v>
      </c>
      <c r="E1761" t="str">
        <f t="shared" si="110"/>
        <v>Dec-2004</v>
      </c>
      <c r="F1761" s="12">
        <f t="shared" si="111"/>
        <v>6.36</v>
      </c>
    </row>
    <row r="1762" spans="1:6" x14ac:dyDescent="0.25">
      <c r="A1762" s="1">
        <v>38343</v>
      </c>
      <c r="B1762">
        <v>5.75</v>
      </c>
      <c r="C1762" s="11">
        <f t="shared" si="108"/>
        <v>5.7500000000000002E-2</v>
      </c>
      <c r="D1762">
        <f t="shared" si="109"/>
        <v>2004</v>
      </c>
      <c r="E1762" t="str">
        <f t="shared" si="110"/>
        <v>Dec-2004</v>
      </c>
      <c r="F1762" s="12">
        <f t="shared" si="111"/>
        <v>6.36</v>
      </c>
    </row>
    <row r="1763" spans="1:6" x14ac:dyDescent="0.25">
      <c r="A1763" s="1">
        <v>38350</v>
      </c>
      <c r="B1763">
        <v>5.81</v>
      </c>
      <c r="C1763" s="11">
        <f t="shared" si="108"/>
        <v>5.8099999999999999E-2</v>
      </c>
      <c r="D1763">
        <f t="shared" si="109"/>
        <v>2004</v>
      </c>
      <c r="E1763" t="str">
        <f t="shared" si="110"/>
        <v>Dec-2004</v>
      </c>
      <c r="F1763" s="12">
        <f t="shared" si="111"/>
        <v>6.36</v>
      </c>
    </row>
    <row r="1764" spans="1:6" x14ac:dyDescent="0.25">
      <c r="A1764" s="1">
        <v>38358</v>
      </c>
      <c r="B1764">
        <v>5.77</v>
      </c>
      <c r="C1764" s="11">
        <f t="shared" si="108"/>
        <v>5.7699999999999994E-2</v>
      </c>
      <c r="D1764">
        <f t="shared" si="109"/>
        <v>2005</v>
      </c>
      <c r="E1764" t="str">
        <f t="shared" si="110"/>
        <v>Jan-2005</v>
      </c>
      <c r="F1764" s="12">
        <f t="shared" si="111"/>
        <v>6.36</v>
      </c>
    </row>
    <row r="1765" spans="1:6" x14ac:dyDescent="0.25">
      <c r="A1765" s="1">
        <v>38365</v>
      </c>
      <c r="B1765">
        <v>5.74</v>
      </c>
      <c r="C1765" s="11">
        <f t="shared" si="108"/>
        <v>5.74E-2</v>
      </c>
      <c r="D1765">
        <f t="shared" si="109"/>
        <v>2005</v>
      </c>
      <c r="E1765" t="str">
        <f t="shared" si="110"/>
        <v>Jan-2005</v>
      </c>
      <c r="F1765" s="12">
        <f t="shared" si="111"/>
        <v>6.36</v>
      </c>
    </row>
    <row r="1766" spans="1:6" x14ac:dyDescent="0.25">
      <c r="A1766" s="1">
        <v>38372</v>
      </c>
      <c r="B1766">
        <v>5.67</v>
      </c>
      <c r="C1766" s="11">
        <f t="shared" si="108"/>
        <v>5.67E-2</v>
      </c>
      <c r="D1766">
        <f t="shared" si="109"/>
        <v>2005</v>
      </c>
      <c r="E1766" t="str">
        <f t="shared" si="110"/>
        <v>Jan-2005</v>
      </c>
      <c r="F1766" s="12">
        <f t="shared" si="111"/>
        <v>6.36</v>
      </c>
    </row>
    <row r="1767" spans="1:6" x14ac:dyDescent="0.25">
      <c r="A1767" s="1">
        <v>38379</v>
      </c>
      <c r="B1767">
        <v>5.66</v>
      </c>
      <c r="C1767" s="11">
        <f t="shared" si="108"/>
        <v>5.6600000000000004E-2</v>
      </c>
      <c r="D1767">
        <f t="shared" si="109"/>
        <v>2005</v>
      </c>
      <c r="E1767" t="str">
        <f t="shared" si="110"/>
        <v>Jan-2005</v>
      </c>
      <c r="F1767" s="12">
        <f t="shared" si="111"/>
        <v>6.36</v>
      </c>
    </row>
    <row r="1768" spans="1:6" x14ac:dyDescent="0.25">
      <c r="A1768" s="1">
        <v>38386</v>
      </c>
      <c r="B1768">
        <v>5.63</v>
      </c>
      <c r="C1768" s="11">
        <f t="shared" si="108"/>
        <v>5.6299999999999996E-2</v>
      </c>
      <c r="D1768">
        <f t="shared" si="109"/>
        <v>2005</v>
      </c>
      <c r="E1768" t="str">
        <f t="shared" si="110"/>
        <v>Feb-2005</v>
      </c>
      <c r="F1768" s="12">
        <f t="shared" si="111"/>
        <v>6.36</v>
      </c>
    </row>
    <row r="1769" spans="1:6" x14ac:dyDescent="0.25">
      <c r="A1769" s="1">
        <v>38393</v>
      </c>
      <c r="B1769">
        <v>5.57</v>
      </c>
      <c r="C1769" s="11">
        <f t="shared" si="108"/>
        <v>5.57E-2</v>
      </c>
      <c r="D1769">
        <f t="shared" si="109"/>
        <v>2005</v>
      </c>
      <c r="E1769" t="str">
        <f t="shared" si="110"/>
        <v>Feb-2005</v>
      </c>
      <c r="F1769" s="12">
        <f t="shared" si="111"/>
        <v>6.36</v>
      </c>
    </row>
    <row r="1770" spans="1:6" x14ac:dyDescent="0.25">
      <c r="A1770" s="1">
        <v>38400</v>
      </c>
      <c r="B1770">
        <v>5.62</v>
      </c>
      <c r="C1770" s="11">
        <f t="shared" si="108"/>
        <v>5.62E-2</v>
      </c>
      <c r="D1770">
        <f t="shared" si="109"/>
        <v>2005</v>
      </c>
      <c r="E1770" t="str">
        <f t="shared" si="110"/>
        <v>Feb-2005</v>
      </c>
      <c r="F1770" s="12">
        <f t="shared" si="111"/>
        <v>6.36</v>
      </c>
    </row>
    <row r="1771" spans="1:6" x14ac:dyDescent="0.25">
      <c r="A1771" s="1">
        <v>38407</v>
      </c>
      <c r="B1771">
        <v>5.69</v>
      </c>
      <c r="C1771" s="11">
        <f t="shared" si="108"/>
        <v>5.6900000000000006E-2</v>
      </c>
      <c r="D1771">
        <f t="shared" si="109"/>
        <v>2005</v>
      </c>
      <c r="E1771" t="str">
        <f t="shared" si="110"/>
        <v>Feb-2005</v>
      </c>
      <c r="F1771" s="12">
        <f t="shared" si="111"/>
        <v>6.36</v>
      </c>
    </row>
    <row r="1772" spans="1:6" x14ac:dyDescent="0.25">
      <c r="A1772" s="1">
        <v>38414</v>
      </c>
      <c r="B1772">
        <v>5.79</v>
      </c>
      <c r="C1772" s="11">
        <f t="shared" si="108"/>
        <v>5.79E-2</v>
      </c>
      <c r="D1772">
        <f t="shared" si="109"/>
        <v>2005</v>
      </c>
      <c r="E1772" t="str">
        <f t="shared" si="110"/>
        <v>Mar-2005</v>
      </c>
      <c r="F1772" s="12">
        <f t="shared" si="111"/>
        <v>6.36</v>
      </c>
    </row>
    <row r="1773" spans="1:6" x14ac:dyDescent="0.25">
      <c r="A1773" s="1">
        <v>38421</v>
      </c>
      <c r="B1773">
        <v>5.85</v>
      </c>
      <c r="C1773" s="11">
        <f t="shared" si="108"/>
        <v>5.8499999999999996E-2</v>
      </c>
      <c r="D1773">
        <f t="shared" si="109"/>
        <v>2005</v>
      </c>
      <c r="E1773" t="str">
        <f t="shared" si="110"/>
        <v>Mar-2005</v>
      </c>
      <c r="F1773" s="12">
        <f t="shared" si="111"/>
        <v>6.36</v>
      </c>
    </row>
    <row r="1774" spans="1:6" x14ac:dyDescent="0.25">
      <c r="A1774" s="1">
        <v>38428</v>
      </c>
      <c r="B1774">
        <v>5.95</v>
      </c>
      <c r="C1774" s="11">
        <f t="shared" si="108"/>
        <v>5.9500000000000004E-2</v>
      </c>
      <c r="D1774">
        <f t="shared" si="109"/>
        <v>2005</v>
      </c>
      <c r="E1774" t="str">
        <f t="shared" si="110"/>
        <v>Mar-2005</v>
      </c>
      <c r="F1774" s="12">
        <f t="shared" si="111"/>
        <v>6.36</v>
      </c>
    </row>
    <row r="1775" spans="1:6" x14ac:dyDescent="0.25">
      <c r="A1775" s="1">
        <v>38435</v>
      </c>
      <c r="B1775">
        <v>6.01</v>
      </c>
      <c r="C1775" s="11">
        <f t="shared" si="108"/>
        <v>6.0100000000000001E-2</v>
      </c>
      <c r="D1775">
        <f t="shared" si="109"/>
        <v>2005</v>
      </c>
      <c r="E1775" t="str">
        <f t="shared" si="110"/>
        <v>Mar-2005</v>
      </c>
      <c r="F1775" s="12">
        <f t="shared" si="111"/>
        <v>6.36</v>
      </c>
    </row>
    <row r="1776" spans="1:6" x14ac:dyDescent="0.25">
      <c r="A1776" s="1">
        <v>38442</v>
      </c>
      <c r="B1776">
        <v>6.04</v>
      </c>
      <c r="C1776" s="11">
        <f t="shared" si="108"/>
        <v>6.0400000000000002E-2</v>
      </c>
      <c r="D1776">
        <f t="shared" si="109"/>
        <v>2005</v>
      </c>
      <c r="E1776" t="str">
        <f t="shared" si="110"/>
        <v>Mar-2005</v>
      </c>
      <c r="F1776" s="12">
        <f t="shared" si="111"/>
        <v>6.36</v>
      </c>
    </row>
    <row r="1777" spans="1:6" x14ac:dyDescent="0.25">
      <c r="A1777" s="1">
        <v>38449</v>
      </c>
      <c r="B1777">
        <v>5.93</v>
      </c>
      <c r="C1777" s="11">
        <f t="shared" si="108"/>
        <v>5.9299999999999999E-2</v>
      </c>
      <c r="D1777">
        <f t="shared" si="109"/>
        <v>2005</v>
      </c>
      <c r="E1777" t="str">
        <f t="shared" si="110"/>
        <v>Apr-2005</v>
      </c>
      <c r="F1777" s="12">
        <f t="shared" si="111"/>
        <v>6.36</v>
      </c>
    </row>
    <row r="1778" spans="1:6" x14ac:dyDescent="0.25">
      <c r="A1778" s="1">
        <v>38456</v>
      </c>
      <c r="B1778">
        <v>5.91</v>
      </c>
      <c r="C1778" s="11">
        <f t="shared" si="108"/>
        <v>5.91E-2</v>
      </c>
      <c r="D1778">
        <f t="shared" si="109"/>
        <v>2005</v>
      </c>
      <c r="E1778" t="str">
        <f t="shared" si="110"/>
        <v>Apr-2005</v>
      </c>
      <c r="F1778" s="12">
        <f t="shared" si="111"/>
        <v>6.36</v>
      </c>
    </row>
    <row r="1779" spans="1:6" x14ac:dyDescent="0.25">
      <c r="A1779" s="1">
        <v>38463</v>
      </c>
      <c r="B1779">
        <v>5.8</v>
      </c>
      <c r="C1779" s="11">
        <f t="shared" si="108"/>
        <v>5.7999999999999996E-2</v>
      </c>
      <c r="D1779">
        <f t="shared" si="109"/>
        <v>2005</v>
      </c>
      <c r="E1779" t="str">
        <f t="shared" si="110"/>
        <v>Apr-2005</v>
      </c>
      <c r="F1779" s="12">
        <f t="shared" si="111"/>
        <v>6.36</v>
      </c>
    </row>
    <row r="1780" spans="1:6" x14ac:dyDescent="0.25">
      <c r="A1780" s="1">
        <v>38470</v>
      </c>
      <c r="B1780">
        <v>5.78</v>
      </c>
      <c r="C1780" s="11">
        <f t="shared" si="108"/>
        <v>5.7800000000000004E-2</v>
      </c>
      <c r="D1780">
        <f t="shared" si="109"/>
        <v>2005</v>
      </c>
      <c r="E1780" t="str">
        <f t="shared" si="110"/>
        <v>Apr-2005</v>
      </c>
      <c r="F1780" s="12">
        <f t="shared" si="111"/>
        <v>6.36</v>
      </c>
    </row>
    <row r="1781" spans="1:6" x14ac:dyDescent="0.25">
      <c r="A1781" s="1">
        <v>38477</v>
      </c>
      <c r="B1781">
        <v>5.75</v>
      </c>
      <c r="C1781" s="11">
        <f t="shared" si="108"/>
        <v>5.7500000000000002E-2</v>
      </c>
      <c r="D1781">
        <f t="shared" si="109"/>
        <v>2005</v>
      </c>
      <c r="E1781" t="str">
        <f t="shared" si="110"/>
        <v>May-2005</v>
      </c>
      <c r="F1781" s="12">
        <f t="shared" si="111"/>
        <v>6.36</v>
      </c>
    </row>
    <row r="1782" spans="1:6" x14ac:dyDescent="0.25">
      <c r="A1782" s="1">
        <v>38484</v>
      </c>
      <c r="B1782">
        <v>5.77</v>
      </c>
      <c r="C1782" s="11">
        <f t="shared" si="108"/>
        <v>5.7699999999999994E-2</v>
      </c>
      <c r="D1782">
        <f t="shared" si="109"/>
        <v>2005</v>
      </c>
      <c r="E1782" t="str">
        <f t="shared" si="110"/>
        <v>May-2005</v>
      </c>
      <c r="F1782" s="12">
        <f t="shared" si="111"/>
        <v>6.36</v>
      </c>
    </row>
    <row r="1783" spans="1:6" x14ac:dyDescent="0.25">
      <c r="A1783" s="1">
        <v>38491</v>
      </c>
      <c r="B1783">
        <v>5.71</v>
      </c>
      <c r="C1783" s="11">
        <f t="shared" si="108"/>
        <v>5.7099999999999998E-2</v>
      </c>
      <c r="D1783">
        <f t="shared" si="109"/>
        <v>2005</v>
      </c>
      <c r="E1783" t="str">
        <f t="shared" si="110"/>
        <v>May-2005</v>
      </c>
      <c r="F1783" s="12">
        <f t="shared" si="111"/>
        <v>6.36</v>
      </c>
    </row>
    <row r="1784" spans="1:6" x14ac:dyDescent="0.25">
      <c r="A1784" s="1">
        <v>38498</v>
      </c>
      <c r="B1784">
        <v>5.65</v>
      </c>
      <c r="C1784" s="11">
        <f t="shared" si="108"/>
        <v>5.6500000000000002E-2</v>
      </c>
      <c r="D1784">
        <f t="shared" si="109"/>
        <v>2005</v>
      </c>
      <c r="E1784" t="str">
        <f t="shared" si="110"/>
        <v>May-2005</v>
      </c>
      <c r="F1784" s="12">
        <f t="shared" si="111"/>
        <v>6.36</v>
      </c>
    </row>
    <row r="1785" spans="1:6" x14ac:dyDescent="0.25">
      <c r="A1785" s="1">
        <v>38505</v>
      </c>
      <c r="B1785">
        <v>5.62</v>
      </c>
      <c r="C1785" s="11">
        <f t="shared" si="108"/>
        <v>5.62E-2</v>
      </c>
      <c r="D1785">
        <f t="shared" si="109"/>
        <v>2005</v>
      </c>
      <c r="E1785" t="str">
        <f t="shared" si="110"/>
        <v>Jun-2005</v>
      </c>
      <c r="F1785" s="12">
        <f t="shared" si="111"/>
        <v>6.36</v>
      </c>
    </row>
    <row r="1786" spans="1:6" x14ac:dyDescent="0.25">
      <c r="A1786" s="1">
        <v>38512</v>
      </c>
      <c r="B1786">
        <v>5.56</v>
      </c>
      <c r="C1786" s="11">
        <f t="shared" si="108"/>
        <v>5.5599999999999997E-2</v>
      </c>
      <c r="D1786">
        <f t="shared" si="109"/>
        <v>2005</v>
      </c>
      <c r="E1786" t="str">
        <f t="shared" si="110"/>
        <v>Jun-2005</v>
      </c>
      <c r="F1786" s="12">
        <f t="shared" si="111"/>
        <v>6.36</v>
      </c>
    </row>
    <row r="1787" spans="1:6" x14ac:dyDescent="0.25">
      <c r="A1787" s="1">
        <v>38519</v>
      </c>
      <c r="B1787">
        <v>5.63</v>
      </c>
      <c r="C1787" s="11">
        <f t="shared" si="108"/>
        <v>5.6299999999999996E-2</v>
      </c>
      <c r="D1787">
        <f t="shared" si="109"/>
        <v>2005</v>
      </c>
      <c r="E1787" t="str">
        <f t="shared" si="110"/>
        <v>Jun-2005</v>
      </c>
      <c r="F1787" s="12">
        <f t="shared" si="111"/>
        <v>6.36</v>
      </c>
    </row>
    <row r="1788" spans="1:6" x14ac:dyDescent="0.25">
      <c r="A1788" s="1">
        <v>38526</v>
      </c>
      <c r="B1788">
        <v>5.57</v>
      </c>
      <c r="C1788" s="11">
        <f t="shared" si="108"/>
        <v>5.57E-2</v>
      </c>
      <c r="D1788">
        <f t="shared" si="109"/>
        <v>2005</v>
      </c>
      <c r="E1788" t="str">
        <f t="shared" si="110"/>
        <v>Jun-2005</v>
      </c>
      <c r="F1788" s="12">
        <f t="shared" si="111"/>
        <v>6.36</v>
      </c>
    </row>
    <row r="1789" spans="1:6" x14ac:dyDescent="0.25">
      <c r="A1789" s="1">
        <v>38533</v>
      </c>
      <c r="B1789">
        <v>5.53</v>
      </c>
      <c r="C1789" s="11">
        <f t="shared" si="108"/>
        <v>5.5300000000000002E-2</v>
      </c>
      <c r="D1789">
        <f t="shared" si="109"/>
        <v>2005</v>
      </c>
      <c r="E1789" t="str">
        <f t="shared" si="110"/>
        <v>Jun-2005</v>
      </c>
      <c r="F1789" s="12">
        <f t="shared" si="111"/>
        <v>6.36</v>
      </c>
    </row>
    <row r="1790" spans="1:6" x14ac:dyDescent="0.25">
      <c r="A1790" s="1">
        <v>38540</v>
      </c>
      <c r="B1790">
        <v>5.62</v>
      </c>
      <c r="C1790" s="11">
        <f t="shared" si="108"/>
        <v>5.62E-2</v>
      </c>
      <c r="D1790">
        <f t="shared" si="109"/>
        <v>2005</v>
      </c>
      <c r="E1790" t="str">
        <f t="shared" si="110"/>
        <v>Jul-2005</v>
      </c>
      <c r="F1790" s="12">
        <f t="shared" si="111"/>
        <v>6.36</v>
      </c>
    </row>
    <row r="1791" spans="1:6" x14ac:dyDescent="0.25">
      <c r="A1791" s="1">
        <v>38547</v>
      </c>
      <c r="B1791">
        <v>5.66</v>
      </c>
      <c r="C1791" s="11">
        <f t="shared" si="108"/>
        <v>5.6600000000000004E-2</v>
      </c>
      <c r="D1791">
        <f t="shared" si="109"/>
        <v>2005</v>
      </c>
      <c r="E1791" t="str">
        <f t="shared" si="110"/>
        <v>Jul-2005</v>
      </c>
      <c r="F1791" s="12">
        <f t="shared" si="111"/>
        <v>6.36</v>
      </c>
    </row>
    <row r="1792" spans="1:6" x14ac:dyDescent="0.25">
      <c r="A1792" s="1">
        <v>38554</v>
      </c>
      <c r="B1792">
        <v>5.73</v>
      </c>
      <c r="C1792" s="11">
        <f t="shared" si="108"/>
        <v>5.7300000000000004E-2</v>
      </c>
      <c r="D1792">
        <f t="shared" si="109"/>
        <v>2005</v>
      </c>
      <c r="E1792" t="str">
        <f t="shared" si="110"/>
        <v>Jul-2005</v>
      </c>
      <c r="F1792" s="12">
        <f t="shared" si="111"/>
        <v>6.36</v>
      </c>
    </row>
    <row r="1793" spans="1:6" x14ac:dyDescent="0.25">
      <c r="A1793" s="1">
        <v>38561</v>
      </c>
      <c r="B1793">
        <v>5.77</v>
      </c>
      <c r="C1793" s="11">
        <f t="shared" si="108"/>
        <v>5.7699999999999994E-2</v>
      </c>
      <c r="D1793">
        <f t="shared" si="109"/>
        <v>2005</v>
      </c>
      <c r="E1793" t="str">
        <f t="shared" si="110"/>
        <v>Jul-2005</v>
      </c>
      <c r="F1793" s="12">
        <f t="shared" si="111"/>
        <v>6.36</v>
      </c>
    </row>
    <row r="1794" spans="1:6" x14ac:dyDescent="0.25">
      <c r="A1794" s="1">
        <v>38568</v>
      </c>
      <c r="B1794">
        <v>5.82</v>
      </c>
      <c r="C1794" s="11">
        <f t="shared" ref="C1794:C1857" si="112">B1794/100</f>
        <v>5.8200000000000002E-2</v>
      </c>
      <c r="D1794">
        <f t="shared" ref="D1794:D1857" si="113">YEAR(A1794)</f>
        <v>2005</v>
      </c>
      <c r="E1794" t="str">
        <f t="shared" ref="E1794:E1857" si="114">TEXT(A1794,"MMM-YYYY")</f>
        <v>Aug-2005</v>
      </c>
      <c r="F1794" s="12">
        <f t="shared" ref="F1794:F1857" si="115">$H$2</f>
        <v>6.36</v>
      </c>
    </row>
    <row r="1795" spans="1:6" x14ac:dyDescent="0.25">
      <c r="A1795" s="1">
        <v>38575</v>
      </c>
      <c r="B1795">
        <v>5.89</v>
      </c>
      <c r="C1795" s="11">
        <f t="shared" si="112"/>
        <v>5.8899999999999994E-2</v>
      </c>
      <c r="D1795">
        <f t="shared" si="113"/>
        <v>2005</v>
      </c>
      <c r="E1795" t="str">
        <f t="shared" si="114"/>
        <v>Aug-2005</v>
      </c>
      <c r="F1795" s="12">
        <f t="shared" si="115"/>
        <v>6.36</v>
      </c>
    </row>
    <row r="1796" spans="1:6" x14ac:dyDescent="0.25">
      <c r="A1796" s="1">
        <v>38582</v>
      </c>
      <c r="B1796">
        <v>5.8</v>
      </c>
      <c r="C1796" s="11">
        <f t="shared" si="112"/>
        <v>5.7999999999999996E-2</v>
      </c>
      <c r="D1796">
        <f t="shared" si="113"/>
        <v>2005</v>
      </c>
      <c r="E1796" t="str">
        <f t="shared" si="114"/>
        <v>Aug-2005</v>
      </c>
      <c r="F1796" s="12">
        <f t="shared" si="115"/>
        <v>6.36</v>
      </c>
    </row>
    <row r="1797" spans="1:6" x14ac:dyDescent="0.25">
      <c r="A1797" s="1">
        <v>38589</v>
      </c>
      <c r="B1797">
        <v>5.77</v>
      </c>
      <c r="C1797" s="11">
        <f t="shared" si="112"/>
        <v>5.7699999999999994E-2</v>
      </c>
      <c r="D1797">
        <f t="shared" si="113"/>
        <v>2005</v>
      </c>
      <c r="E1797" t="str">
        <f t="shared" si="114"/>
        <v>Aug-2005</v>
      </c>
      <c r="F1797" s="12">
        <f t="shared" si="115"/>
        <v>6.36</v>
      </c>
    </row>
    <row r="1798" spans="1:6" x14ac:dyDescent="0.25">
      <c r="A1798" s="1">
        <v>38596</v>
      </c>
      <c r="B1798">
        <v>5.71</v>
      </c>
      <c r="C1798" s="11">
        <f t="shared" si="112"/>
        <v>5.7099999999999998E-2</v>
      </c>
      <c r="D1798">
        <f t="shared" si="113"/>
        <v>2005</v>
      </c>
      <c r="E1798" t="str">
        <f t="shared" si="114"/>
        <v>Sep-2005</v>
      </c>
      <c r="F1798" s="12">
        <f t="shared" si="115"/>
        <v>6.36</v>
      </c>
    </row>
    <row r="1799" spans="1:6" x14ac:dyDescent="0.25">
      <c r="A1799" s="1">
        <v>38603</v>
      </c>
      <c r="B1799">
        <v>5.71</v>
      </c>
      <c r="C1799" s="11">
        <f t="shared" si="112"/>
        <v>5.7099999999999998E-2</v>
      </c>
      <c r="D1799">
        <f t="shared" si="113"/>
        <v>2005</v>
      </c>
      <c r="E1799" t="str">
        <f t="shared" si="114"/>
        <v>Sep-2005</v>
      </c>
      <c r="F1799" s="12">
        <f t="shared" si="115"/>
        <v>6.36</v>
      </c>
    </row>
    <row r="1800" spans="1:6" x14ac:dyDescent="0.25">
      <c r="A1800" s="1">
        <v>38610</v>
      </c>
      <c r="B1800">
        <v>5.74</v>
      </c>
      <c r="C1800" s="11">
        <f t="shared" si="112"/>
        <v>5.74E-2</v>
      </c>
      <c r="D1800">
        <f t="shared" si="113"/>
        <v>2005</v>
      </c>
      <c r="E1800" t="str">
        <f t="shared" si="114"/>
        <v>Sep-2005</v>
      </c>
      <c r="F1800" s="12">
        <f t="shared" si="115"/>
        <v>6.36</v>
      </c>
    </row>
    <row r="1801" spans="1:6" x14ac:dyDescent="0.25">
      <c r="A1801" s="1">
        <v>38617</v>
      </c>
      <c r="B1801">
        <v>5.8</v>
      </c>
      <c r="C1801" s="11">
        <f t="shared" si="112"/>
        <v>5.7999999999999996E-2</v>
      </c>
      <c r="D1801">
        <f t="shared" si="113"/>
        <v>2005</v>
      </c>
      <c r="E1801" t="str">
        <f t="shared" si="114"/>
        <v>Sep-2005</v>
      </c>
      <c r="F1801" s="12">
        <f t="shared" si="115"/>
        <v>6.36</v>
      </c>
    </row>
    <row r="1802" spans="1:6" x14ac:dyDescent="0.25">
      <c r="A1802" s="1">
        <v>38624</v>
      </c>
      <c r="B1802">
        <v>5.91</v>
      </c>
      <c r="C1802" s="11">
        <f t="shared" si="112"/>
        <v>5.91E-2</v>
      </c>
      <c r="D1802">
        <f t="shared" si="113"/>
        <v>2005</v>
      </c>
      <c r="E1802" t="str">
        <f t="shared" si="114"/>
        <v>Sep-2005</v>
      </c>
      <c r="F1802" s="12">
        <f t="shared" si="115"/>
        <v>6.36</v>
      </c>
    </row>
    <row r="1803" spans="1:6" x14ac:dyDescent="0.25">
      <c r="A1803" s="1">
        <v>38631</v>
      </c>
      <c r="B1803">
        <v>5.98</v>
      </c>
      <c r="C1803" s="11">
        <f t="shared" si="112"/>
        <v>5.9800000000000006E-2</v>
      </c>
      <c r="D1803">
        <f t="shared" si="113"/>
        <v>2005</v>
      </c>
      <c r="E1803" t="str">
        <f t="shared" si="114"/>
        <v>Oct-2005</v>
      </c>
      <c r="F1803" s="12">
        <f t="shared" si="115"/>
        <v>6.36</v>
      </c>
    </row>
    <row r="1804" spans="1:6" x14ac:dyDescent="0.25">
      <c r="A1804" s="1">
        <v>38638</v>
      </c>
      <c r="B1804">
        <v>6.03</v>
      </c>
      <c r="C1804" s="11">
        <f t="shared" si="112"/>
        <v>6.0299999999999999E-2</v>
      </c>
      <c r="D1804">
        <f t="shared" si="113"/>
        <v>2005</v>
      </c>
      <c r="E1804" t="str">
        <f t="shared" si="114"/>
        <v>Oct-2005</v>
      </c>
      <c r="F1804" s="12">
        <f t="shared" si="115"/>
        <v>6.36</v>
      </c>
    </row>
    <row r="1805" spans="1:6" x14ac:dyDescent="0.25">
      <c r="A1805" s="1">
        <v>38645</v>
      </c>
      <c r="B1805">
        <v>6.1</v>
      </c>
      <c r="C1805" s="11">
        <f t="shared" si="112"/>
        <v>6.0999999999999999E-2</v>
      </c>
      <c r="D1805">
        <f t="shared" si="113"/>
        <v>2005</v>
      </c>
      <c r="E1805" t="str">
        <f t="shared" si="114"/>
        <v>Oct-2005</v>
      </c>
      <c r="F1805" s="12">
        <f t="shared" si="115"/>
        <v>6.36</v>
      </c>
    </row>
    <row r="1806" spans="1:6" x14ac:dyDescent="0.25">
      <c r="A1806" s="1">
        <v>38652</v>
      </c>
      <c r="B1806">
        <v>6.15</v>
      </c>
      <c r="C1806" s="11">
        <f t="shared" si="112"/>
        <v>6.1500000000000006E-2</v>
      </c>
      <c r="D1806">
        <f t="shared" si="113"/>
        <v>2005</v>
      </c>
      <c r="E1806" t="str">
        <f t="shared" si="114"/>
        <v>Oct-2005</v>
      </c>
      <c r="F1806" s="12">
        <f t="shared" si="115"/>
        <v>6.36</v>
      </c>
    </row>
    <row r="1807" spans="1:6" x14ac:dyDescent="0.25">
      <c r="A1807" s="1">
        <v>38659</v>
      </c>
      <c r="B1807">
        <v>6.31</v>
      </c>
      <c r="C1807" s="11">
        <f t="shared" si="112"/>
        <v>6.3099999999999989E-2</v>
      </c>
      <c r="D1807">
        <f t="shared" si="113"/>
        <v>2005</v>
      </c>
      <c r="E1807" t="str">
        <f t="shared" si="114"/>
        <v>Nov-2005</v>
      </c>
      <c r="F1807" s="12">
        <f t="shared" si="115"/>
        <v>6.36</v>
      </c>
    </row>
    <row r="1808" spans="1:6" x14ac:dyDescent="0.25">
      <c r="A1808" s="1">
        <v>38666</v>
      </c>
      <c r="B1808">
        <v>6.36</v>
      </c>
      <c r="C1808" s="11">
        <f t="shared" si="112"/>
        <v>6.3600000000000004E-2</v>
      </c>
      <c r="D1808">
        <f t="shared" si="113"/>
        <v>2005</v>
      </c>
      <c r="E1808" t="str">
        <f t="shared" si="114"/>
        <v>Nov-2005</v>
      </c>
      <c r="F1808" s="12">
        <f t="shared" si="115"/>
        <v>6.36</v>
      </c>
    </row>
    <row r="1809" spans="1:6" x14ac:dyDescent="0.25">
      <c r="A1809" s="1">
        <v>38673</v>
      </c>
      <c r="B1809">
        <v>6.37</v>
      </c>
      <c r="C1809" s="11">
        <f t="shared" si="112"/>
        <v>6.3700000000000007E-2</v>
      </c>
      <c r="D1809">
        <f t="shared" si="113"/>
        <v>2005</v>
      </c>
      <c r="E1809" t="str">
        <f t="shared" si="114"/>
        <v>Nov-2005</v>
      </c>
      <c r="F1809" s="12">
        <f t="shared" si="115"/>
        <v>6.36</v>
      </c>
    </row>
    <row r="1810" spans="1:6" x14ac:dyDescent="0.25">
      <c r="A1810" s="1">
        <v>38679</v>
      </c>
      <c r="B1810">
        <v>6.28</v>
      </c>
      <c r="C1810" s="11">
        <f t="shared" si="112"/>
        <v>6.2800000000000009E-2</v>
      </c>
      <c r="D1810">
        <f t="shared" si="113"/>
        <v>2005</v>
      </c>
      <c r="E1810" t="str">
        <f t="shared" si="114"/>
        <v>Nov-2005</v>
      </c>
      <c r="F1810" s="12">
        <f t="shared" si="115"/>
        <v>6.36</v>
      </c>
    </row>
    <row r="1811" spans="1:6" x14ac:dyDescent="0.25">
      <c r="A1811" s="1">
        <v>38687</v>
      </c>
      <c r="B1811">
        <v>6.26</v>
      </c>
      <c r="C1811" s="11">
        <f t="shared" si="112"/>
        <v>6.2600000000000003E-2</v>
      </c>
      <c r="D1811">
        <f t="shared" si="113"/>
        <v>2005</v>
      </c>
      <c r="E1811" t="str">
        <f t="shared" si="114"/>
        <v>Dec-2005</v>
      </c>
      <c r="F1811" s="12">
        <f t="shared" si="115"/>
        <v>6.36</v>
      </c>
    </row>
    <row r="1812" spans="1:6" x14ac:dyDescent="0.25">
      <c r="A1812" s="1">
        <v>38694</v>
      </c>
      <c r="B1812">
        <v>6.32</v>
      </c>
      <c r="C1812" s="11">
        <f t="shared" si="112"/>
        <v>6.3200000000000006E-2</v>
      </c>
      <c r="D1812">
        <f t="shared" si="113"/>
        <v>2005</v>
      </c>
      <c r="E1812" t="str">
        <f t="shared" si="114"/>
        <v>Dec-2005</v>
      </c>
      <c r="F1812" s="12">
        <f t="shared" si="115"/>
        <v>6.36</v>
      </c>
    </row>
    <row r="1813" spans="1:6" x14ac:dyDescent="0.25">
      <c r="A1813" s="1">
        <v>38701</v>
      </c>
      <c r="B1813">
        <v>6.3</v>
      </c>
      <c r="C1813" s="11">
        <f t="shared" si="112"/>
        <v>6.3E-2</v>
      </c>
      <c r="D1813">
        <f t="shared" si="113"/>
        <v>2005</v>
      </c>
      <c r="E1813" t="str">
        <f t="shared" si="114"/>
        <v>Dec-2005</v>
      </c>
      <c r="F1813" s="12">
        <f t="shared" si="115"/>
        <v>6.36</v>
      </c>
    </row>
    <row r="1814" spans="1:6" x14ac:dyDescent="0.25">
      <c r="A1814" s="1">
        <v>38708</v>
      </c>
      <c r="B1814">
        <v>6.26</v>
      </c>
      <c r="C1814" s="11">
        <f t="shared" si="112"/>
        <v>6.2600000000000003E-2</v>
      </c>
      <c r="D1814">
        <f t="shared" si="113"/>
        <v>2005</v>
      </c>
      <c r="E1814" t="str">
        <f t="shared" si="114"/>
        <v>Dec-2005</v>
      </c>
      <c r="F1814" s="12">
        <f t="shared" si="115"/>
        <v>6.36</v>
      </c>
    </row>
    <row r="1815" spans="1:6" x14ac:dyDescent="0.25">
      <c r="A1815" s="1">
        <v>38715</v>
      </c>
      <c r="B1815">
        <v>6.22</v>
      </c>
      <c r="C1815" s="11">
        <f t="shared" si="112"/>
        <v>6.2199999999999998E-2</v>
      </c>
      <c r="D1815">
        <f t="shared" si="113"/>
        <v>2005</v>
      </c>
      <c r="E1815" t="str">
        <f t="shared" si="114"/>
        <v>Dec-2005</v>
      </c>
      <c r="F1815" s="12">
        <f t="shared" si="115"/>
        <v>6.36</v>
      </c>
    </row>
    <row r="1816" spans="1:6" x14ac:dyDescent="0.25">
      <c r="A1816" s="1">
        <v>38722</v>
      </c>
      <c r="B1816">
        <v>6.21</v>
      </c>
      <c r="C1816" s="11">
        <f t="shared" si="112"/>
        <v>6.2100000000000002E-2</v>
      </c>
      <c r="D1816">
        <f t="shared" si="113"/>
        <v>2006</v>
      </c>
      <c r="E1816" t="str">
        <f t="shared" si="114"/>
        <v>Jan-2006</v>
      </c>
      <c r="F1816" s="12">
        <f t="shared" si="115"/>
        <v>6.36</v>
      </c>
    </row>
    <row r="1817" spans="1:6" x14ac:dyDescent="0.25">
      <c r="A1817" s="1">
        <v>38729</v>
      </c>
      <c r="B1817">
        <v>6.15</v>
      </c>
      <c r="C1817" s="11">
        <f t="shared" si="112"/>
        <v>6.1500000000000006E-2</v>
      </c>
      <c r="D1817">
        <f t="shared" si="113"/>
        <v>2006</v>
      </c>
      <c r="E1817" t="str">
        <f t="shared" si="114"/>
        <v>Jan-2006</v>
      </c>
      <c r="F1817" s="12">
        <f t="shared" si="115"/>
        <v>6.36</v>
      </c>
    </row>
    <row r="1818" spans="1:6" x14ac:dyDescent="0.25">
      <c r="A1818" s="1">
        <v>38736</v>
      </c>
      <c r="B1818">
        <v>6.1</v>
      </c>
      <c r="C1818" s="11">
        <f t="shared" si="112"/>
        <v>6.0999999999999999E-2</v>
      </c>
      <c r="D1818">
        <f t="shared" si="113"/>
        <v>2006</v>
      </c>
      <c r="E1818" t="str">
        <f t="shared" si="114"/>
        <v>Jan-2006</v>
      </c>
      <c r="F1818" s="12">
        <f t="shared" si="115"/>
        <v>6.36</v>
      </c>
    </row>
    <row r="1819" spans="1:6" x14ac:dyDescent="0.25">
      <c r="A1819" s="1">
        <v>38743</v>
      </c>
      <c r="B1819">
        <v>6.12</v>
      </c>
      <c r="C1819" s="11">
        <f t="shared" si="112"/>
        <v>6.1200000000000004E-2</v>
      </c>
      <c r="D1819">
        <f t="shared" si="113"/>
        <v>2006</v>
      </c>
      <c r="E1819" t="str">
        <f t="shared" si="114"/>
        <v>Jan-2006</v>
      </c>
      <c r="F1819" s="12">
        <f t="shared" si="115"/>
        <v>6.36</v>
      </c>
    </row>
    <row r="1820" spans="1:6" x14ac:dyDescent="0.25">
      <c r="A1820" s="1">
        <v>38750</v>
      </c>
      <c r="B1820">
        <v>6.23</v>
      </c>
      <c r="C1820" s="11">
        <f t="shared" si="112"/>
        <v>6.2300000000000001E-2</v>
      </c>
      <c r="D1820">
        <f t="shared" si="113"/>
        <v>2006</v>
      </c>
      <c r="E1820" t="str">
        <f t="shared" si="114"/>
        <v>Feb-2006</v>
      </c>
      <c r="F1820" s="12">
        <f t="shared" si="115"/>
        <v>6.36</v>
      </c>
    </row>
    <row r="1821" spans="1:6" x14ac:dyDescent="0.25">
      <c r="A1821" s="1">
        <v>38757</v>
      </c>
      <c r="B1821">
        <v>6.24</v>
      </c>
      <c r="C1821" s="11">
        <f t="shared" si="112"/>
        <v>6.2400000000000004E-2</v>
      </c>
      <c r="D1821">
        <f t="shared" si="113"/>
        <v>2006</v>
      </c>
      <c r="E1821" t="str">
        <f t="shared" si="114"/>
        <v>Feb-2006</v>
      </c>
      <c r="F1821" s="12">
        <f t="shared" si="115"/>
        <v>6.36</v>
      </c>
    </row>
    <row r="1822" spans="1:6" x14ac:dyDescent="0.25">
      <c r="A1822" s="1">
        <v>38764</v>
      </c>
      <c r="B1822">
        <v>6.28</v>
      </c>
      <c r="C1822" s="11">
        <f t="shared" si="112"/>
        <v>6.2800000000000009E-2</v>
      </c>
      <c r="D1822">
        <f t="shared" si="113"/>
        <v>2006</v>
      </c>
      <c r="E1822" t="str">
        <f t="shared" si="114"/>
        <v>Feb-2006</v>
      </c>
      <c r="F1822" s="12">
        <f t="shared" si="115"/>
        <v>6.36</v>
      </c>
    </row>
    <row r="1823" spans="1:6" x14ac:dyDescent="0.25">
      <c r="A1823" s="1">
        <v>38771</v>
      </c>
      <c r="B1823">
        <v>6.26</v>
      </c>
      <c r="C1823" s="11">
        <f t="shared" si="112"/>
        <v>6.2600000000000003E-2</v>
      </c>
      <c r="D1823">
        <f t="shared" si="113"/>
        <v>2006</v>
      </c>
      <c r="E1823" t="str">
        <f t="shared" si="114"/>
        <v>Feb-2006</v>
      </c>
      <c r="F1823" s="12">
        <f t="shared" si="115"/>
        <v>6.36</v>
      </c>
    </row>
    <row r="1824" spans="1:6" x14ac:dyDescent="0.25">
      <c r="A1824" s="1">
        <v>38778</v>
      </c>
      <c r="B1824">
        <v>6.24</v>
      </c>
      <c r="C1824" s="11">
        <f t="shared" si="112"/>
        <v>6.2400000000000004E-2</v>
      </c>
      <c r="D1824">
        <f t="shared" si="113"/>
        <v>2006</v>
      </c>
      <c r="E1824" t="str">
        <f t="shared" si="114"/>
        <v>Mar-2006</v>
      </c>
      <c r="F1824" s="12">
        <f t="shared" si="115"/>
        <v>6.36</v>
      </c>
    </row>
    <row r="1825" spans="1:6" x14ac:dyDescent="0.25">
      <c r="A1825" s="1">
        <v>38785</v>
      </c>
      <c r="B1825">
        <v>6.37</v>
      </c>
      <c r="C1825" s="11">
        <f t="shared" si="112"/>
        <v>6.3700000000000007E-2</v>
      </c>
      <c r="D1825">
        <f t="shared" si="113"/>
        <v>2006</v>
      </c>
      <c r="E1825" t="str">
        <f t="shared" si="114"/>
        <v>Mar-2006</v>
      </c>
      <c r="F1825" s="12">
        <f t="shared" si="115"/>
        <v>6.36</v>
      </c>
    </row>
    <row r="1826" spans="1:6" x14ac:dyDescent="0.25">
      <c r="A1826" s="1">
        <v>38792</v>
      </c>
      <c r="B1826">
        <v>6.34</v>
      </c>
      <c r="C1826" s="11">
        <f t="shared" si="112"/>
        <v>6.3399999999999998E-2</v>
      </c>
      <c r="D1826">
        <f t="shared" si="113"/>
        <v>2006</v>
      </c>
      <c r="E1826" t="str">
        <f t="shared" si="114"/>
        <v>Mar-2006</v>
      </c>
      <c r="F1826" s="12">
        <f t="shared" si="115"/>
        <v>6.36</v>
      </c>
    </row>
    <row r="1827" spans="1:6" x14ac:dyDescent="0.25">
      <c r="A1827" s="1">
        <v>38799</v>
      </c>
      <c r="B1827">
        <v>6.32</v>
      </c>
      <c r="C1827" s="11">
        <f t="shared" si="112"/>
        <v>6.3200000000000006E-2</v>
      </c>
      <c r="D1827">
        <f t="shared" si="113"/>
        <v>2006</v>
      </c>
      <c r="E1827" t="str">
        <f t="shared" si="114"/>
        <v>Mar-2006</v>
      </c>
      <c r="F1827" s="12">
        <f t="shared" si="115"/>
        <v>6.36</v>
      </c>
    </row>
    <row r="1828" spans="1:6" x14ac:dyDescent="0.25">
      <c r="A1828" s="1">
        <v>38806</v>
      </c>
      <c r="B1828">
        <v>6.35</v>
      </c>
      <c r="C1828" s="11">
        <f t="shared" si="112"/>
        <v>6.3500000000000001E-2</v>
      </c>
      <c r="D1828">
        <f t="shared" si="113"/>
        <v>2006</v>
      </c>
      <c r="E1828" t="str">
        <f t="shared" si="114"/>
        <v>Mar-2006</v>
      </c>
      <c r="F1828" s="12">
        <f t="shared" si="115"/>
        <v>6.36</v>
      </c>
    </row>
    <row r="1829" spans="1:6" x14ac:dyDescent="0.25">
      <c r="A1829" s="1">
        <v>38813</v>
      </c>
      <c r="B1829">
        <v>6.43</v>
      </c>
      <c r="C1829" s="11">
        <f t="shared" si="112"/>
        <v>6.4299999999999996E-2</v>
      </c>
      <c r="D1829">
        <f t="shared" si="113"/>
        <v>2006</v>
      </c>
      <c r="E1829" t="str">
        <f t="shared" si="114"/>
        <v>Apr-2006</v>
      </c>
      <c r="F1829" s="12">
        <f t="shared" si="115"/>
        <v>6.36</v>
      </c>
    </row>
    <row r="1830" spans="1:6" x14ac:dyDescent="0.25">
      <c r="A1830" s="1">
        <v>38820</v>
      </c>
      <c r="B1830">
        <v>6.49</v>
      </c>
      <c r="C1830" s="11">
        <f t="shared" si="112"/>
        <v>6.4899999999999999E-2</v>
      </c>
      <c r="D1830">
        <f t="shared" si="113"/>
        <v>2006</v>
      </c>
      <c r="E1830" t="str">
        <f t="shared" si="114"/>
        <v>Apr-2006</v>
      </c>
      <c r="F1830" s="12">
        <f t="shared" si="115"/>
        <v>6.36</v>
      </c>
    </row>
    <row r="1831" spans="1:6" x14ac:dyDescent="0.25">
      <c r="A1831" s="1">
        <v>38827</v>
      </c>
      <c r="B1831">
        <v>6.53</v>
      </c>
      <c r="C1831" s="11">
        <f t="shared" si="112"/>
        <v>6.5299999999999997E-2</v>
      </c>
      <c r="D1831">
        <f t="shared" si="113"/>
        <v>2006</v>
      </c>
      <c r="E1831" t="str">
        <f t="shared" si="114"/>
        <v>Apr-2006</v>
      </c>
      <c r="F1831" s="12">
        <f t="shared" si="115"/>
        <v>6.36</v>
      </c>
    </row>
    <row r="1832" spans="1:6" x14ac:dyDescent="0.25">
      <c r="A1832" s="1">
        <v>38834</v>
      </c>
      <c r="B1832">
        <v>6.58</v>
      </c>
      <c r="C1832" s="11">
        <f t="shared" si="112"/>
        <v>6.5799999999999997E-2</v>
      </c>
      <c r="D1832">
        <f t="shared" si="113"/>
        <v>2006</v>
      </c>
      <c r="E1832" t="str">
        <f t="shared" si="114"/>
        <v>Apr-2006</v>
      </c>
      <c r="F1832" s="12">
        <f t="shared" si="115"/>
        <v>6.36</v>
      </c>
    </row>
    <row r="1833" spans="1:6" x14ac:dyDescent="0.25">
      <c r="A1833" s="1">
        <v>38841</v>
      </c>
      <c r="B1833">
        <v>6.59</v>
      </c>
      <c r="C1833" s="11">
        <f t="shared" si="112"/>
        <v>6.59E-2</v>
      </c>
      <c r="D1833">
        <f t="shared" si="113"/>
        <v>2006</v>
      </c>
      <c r="E1833" t="str">
        <f t="shared" si="114"/>
        <v>May-2006</v>
      </c>
      <c r="F1833" s="12">
        <f t="shared" si="115"/>
        <v>6.36</v>
      </c>
    </row>
    <row r="1834" spans="1:6" x14ac:dyDescent="0.25">
      <c r="A1834" s="1">
        <v>38848</v>
      </c>
      <c r="B1834">
        <v>6.58</v>
      </c>
      <c r="C1834" s="11">
        <f t="shared" si="112"/>
        <v>6.5799999999999997E-2</v>
      </c>
      <c r="D1834">
        <f t="shared" si="113"/>
        <v>2006</v>
      </c>
      <c r="E1834" t="str">
        <f t="shared" si="114"/>
        <v>May-2006</v>
      </c>
      <c r="F1834" s="12">
        <f t="shared" si="115"/>
        <v>6.36</v>
      </c>
    </row>
    <row r="1835" spans="1:6" x14ac:dyDescent="0.25">
      <c r="A1835" s="1">
        <v>38855</v>
      </c>
      <c r="B1835">
        <v>6.6</v>
      </c>
      <c r="C1835" s="11">
        <f t="shared" si="112"/>
        <v>6.6000000000000003E-2</v>
      </c>
      <c r="D1835">
        <f t="shared" si="113"/>
        <v>2006</v>
      </c>
      <c r="E1835" t="str">
        <f t="shared" si="114"/>
        <v>May-2006</v>
      </c>
      <c r="F1835" s="12">
        <f t="shared" si="115"/>
        <v>6.36</v>
      </c>
    </row>
    <row r="1836" spans="1:6" x14ac:dyDescent="0.25">
      <c r="A1836" s="1">
        <v>38862</v>
      </c>
      <c r="B1836">
        <v>6.62</v>
      </c>
      <c r="C1836" s="11">
        <f t="shared" si="112"/>
        <v>6.6199999999999995E-2</v>
      </c>
      <c r="D1836">
        <f t="shared" si="113"/>
        <v>2006</v>
      </c>
      <c r="E1836" t="str">
        <f t="shared" si="114"/>
        <v>May-2006</v>
      </c>
      <c r="F1836" s="12">
        <f t="shared" si="115"/>
        <v>6.36</v>
      </c>
    </row>
    <row r="1837" spans="1:6" x14ac:dyDescent="0.25">
      <c r="A1837" s="1">
        <v>38869</v>
      </c>
      <c r="B1837">
        <v>6.67</v>
      </c>
      <c r="C1837" s="11">
        <f t="shared" si="112"/>
        <v>6.6699999999999995E-2</v>
      </c>
      <c r="D1837">
        <f t="shared" si="113"/>
        <v>2006</v>
      </c>
      <c r="E1837" t="str">
        <f t="shared" si="114"/>
        <v>Jun-2006</v>
      </c>
      <c r="F1837" s="12">
        <f t="shared" si="115"/>
        <v>6.36</v>
      </c>
    </row>
    <row r="1838" spans="1:6" x14ac:dyDescent="0.25">
      <c r="A1838" s="1">
        <v>38876</v>
      </c>
      <c r="B1838">
        <v>6.62</v>
      </c>
      <c r="C1838" s="11">
        <f t="shared" si="112"/>
        <v>6.6199999999999995E-2</v>
      </c>
      <c r="D1838">
        <f t="shared" si="113"/>
        <v>2006</v>
      </c>
      <c r="E1838" t="str">
        <f t="shared" si="114"/>
        <v>Jun-2006</v>
      </c>
      <c r="F1838" s="12">
        <f t="shared" si="115"/>
        <v>6.36</v>
      </c>
    </row>
    <row r="1839" spans="1:6" x14ac:dyDescent="0.25">
      <c r="A1839" s="1">
        <v>38883</v>
      </c>
      <c r="B1839">
        <v>6.63</v>
      </c>
      <c r="C1839" s="11">
        <f t="shared" si="112"/>
        <v>6.6299999999999998E-2</v>
      </c>
      <c r="D1839">
        <f t="shared" si="113"/>
        <v>2006</v>
      </c>
      <c r="E1839" t="str">
        <f t="shared" si="114"/>
        <v>Jun-2006</v>
      </c>
      <c r="F1839" s="12">
        <f t="shared" si="115"/>
        <v>6.36</v>
      </c>
    </row>
    <row r="1840" spans="1:6" x14ac:dyDescent="0.25">
      <c r="A1840" s="1">
        <v>38890</v>
      </c>
      <c r="B1840">
        <v>6.71</v>
      </c>
      <c r="C1840" s="11">
        <f t="shared" si="112"/>
        <v>6.7099999999999993E-2</v>
      </c>
      <c r="D1840">
        <f t="shared" si="113"/>
        <v>2006</v>
      </c>
      <c r="E1840" t="str">
        <f t="shared" si="114"/>
        <v>Jun-2006</v>
      </c>
      <c r="F1840" s="12">
        <f t="shared" si="115"/>
        <v>6.36</v>
      </c>
    </row>
    <row r="1841" spans="1:6" x14ac:dyDescent="0.25">
      <c r="A1841" s="1">
        <v>38897</v>
      </c>
      <c r="B1841">
        <v>6.78</v>
      </c>
      <c r="C1841" s="11">
        <f t="shared" si="112"/>
        <v>6.7799999999999999E-2</v>
      </c>
      <c r="D1841">
        <f t="shared" si="113"/>
        <v>2006</v>
      </c>
      <c r="E1841" t="str">
        <f t="shared" si="114"/>
        <v>Jun-2006</v>
      </c>
      <c r="F1841" s="12">
        <f t="shared" si="115"/>
        <v>6.36</v>
      </c>
    </row>
    <row r="1842" spans="1:6" x14ac:dyDescent="0.25">
      <c r="A1842" s="1">
        <v>38904</v>
      </c>
      <c r="B1842">
        <v>6.79</v>
      </c>
      <c r="C1842" s="11">
        <f t="shared" si="112"/>
        <v>6.7900000000000002E-2</v>
      </c>
      <c r="D1842">
        <f t="shared" si="113"/>
        <v>2006</v>
      </c>
      <c r="E1842" t="str">
        <f t="shared" si="114"/>
        <v>Jul-2006</v>
      </c>
      <c r="F1842" s="12">
        <f t="shared" si="115"/>
        <v>6.36</v>
      </c>
    </row>
    <row r="1843" spans="1:6" x14ac:dyDescent="0.25">
      <c r="A1843" s="1">
        <v>38911</v>
      </c>
      <c r="B1843">
        <v>6.74</v>
      </c>
      <c r="C1843" s="11">
        <f t="shared" si="112"/>
        <v>6.7400000000000002E-2</v>
      </c>
      <c r="D1843">
        <f t="shared" si="113"/>
        <v>2006</v>
      </c>
      <c r="E1843" t="str">
        <f t="shared" si="114"/>
        <v>Jul-2006</v>
      </c>
      <c r="F1843" s="12">
        <f t="shared" si="115"/>
        <v>6.36</v>
      </c>
    </row>
    <row r="1844" spans="1:6" x14ac:dyDescent="0.25">
      <c r="A1844" s="1">
        <v>38918</v>
      </c>
      <c r="B1844">
        <v>6.8</v>
      </c>
      <c r="C1844" s="11">
        <f t="shared" si="112"/>
        <v>6.8000000000000005E-2</v>
      </c>
      <c r="D1844">
        <f t="shared" si="113"/>
        <v>2006</v>
      </c>
      <c r="E1844" t="str">
        <f t="shared" si="114"/>
        <v>Jul-2006</v>
      </c>
      <c r="F1844" s="12">
        <f t="shared" si="115"/>
        <v>6.36</v>
      </c>
    </row>
    <row r="1845" spans="1:6" x14ac:dyDescent="0.25">
      <c r="A1845" s="1">
        <v>38925</v>
      </c>
      <c r="B1845">
        <v>6.72</v>
      </c>
      <c r="C1845" s="11">
        <f t="shared" si="112"/>
        <v>6.7199999999999996E-2</v>
      </c>
      <c r="D1845">
        <f t="shared" si="113"/>
        <v>2006</v>
      </c>
      <c r="E1845" t="str">
        <f t="shared" si="114"/>
        <v>Jul-2006</v>
      </c>
      <c r="F1845" s="12">
        <f t="shared" si="115"/>
        <v>6.36</v>
      </c>
    </row>
    <row r="1846" spans="1:6" x14ac:dyDescent="0.25">
      <c r="A1846" s="1">
        <v>38932</v>
      </c>
      <c r="B1846">
        <v>6.63</v>
      </c>
      <c r="C1846" s="11">
        <f t="shared" si="112"/>
        <v>6.6299999999999998E-2</v>
      </c>
      <c r="D1846">
        <f t="shared" si="113"/>
        <v>2006</v>
      </c>
      <c r="E1846" t="str">
        <f t="shared" si="114"/>
        <v>Aug-2006</v>
      </c>
      <c r="F1846" s="12">
        <f t="shared" si="115"/>
        <v>6.36</v>
      </c>
    </row>
    <row r="1847" spans="1:6" x14ac:dyDescent="0.25">
      <c r="A1847" s="1">
        <v>38939</v>
      </c>
      <c r="B1847">
        <v>6.55</v>
      </c>
      <c r="C1847" s="11">
        <f t="shared" si="112"/>
        <v>6.5500000000000003E-2</v>
      </c>
      <c r="D1847">
        <f t="shared" si="113"/>
        <v>2006</v>
      </c>
      <c r="E1847" t="str">
        <f t="shared" si="114"/>
        <v>Aug-2006</v>
      </c>
      <c r="F1847" s="12">
        <f t="shared" si="115"/>
        <v>6.36</v>
      </c>
    </row>
    <row r="1848" spans="1:6" x14ac:dyDescent="0.25">
      <c r="A1848" s="1">
        <v>38946</v>
      </c>
      <c r="B1848">
        <v>6.52</v>
      </c>
      <c r="C1848" s="11">
        <f t="shared" si="112"/>
        <v>6.5199999999999994E-2</v>
      </c>
      <c r="D1848">
        <f t="shared" si="113"/>
        <v>2006</v>
      </c>
      <c r="E1848" t="str">
        <f t="shared" si="114"/>
        <v>Aug-2006</v>
      </c>
      <c r="F1848" s="12">
        <f t="shared" si="115"/>
        <v>6.36</v>
      </c>
    </row>
    <row r="1849" spans="1:6" x14ac:dyDescent="0.25">
      <c r="A1849" s="1">
        <v>38953</v>
      </c>
      <c r="B1849">
        <v>6.48</v>
      </c>
      <c r="C1849" s="11">
        <f t="shared" si="112"/>
        <v>6.480000000000001E-2</v>
      </c>
      <c r="D1849">
        <f t="shared" si="113"/>
        <v>2006</v>
      </c>
      <c r="E1849" t="str">
        <f t="shared" si="114"/>
        <v>Aug-2006</v>
      </c>
      <c r="F1849" s="12">
        <f t="shared" si="115"/>
        <v>6.36</v>
      </c>
    </row>
    <row r="1850" spans="1:6" x14ac:dyDescent="0.25">
      <c r="A1850" s="1">
        <v>38960</v>
      </c>
      <c r="B1850">
        <v>6.44</v>
      </c>
      <c r="C1850" s="11">
        <f t="shared" si="112"/>
        <v>6.4399999999999999E-2</v>
      </c>
      <c r="D1850">
        <f t="shared" si="113"/>
        <v>2006</v>
      </c>
      <c r="E1850" t="str">
        <f t="shared" si="114"/>
        <v>Aug-2006</v>
      </c>
      <c r="F1850" s="12">
        <f t="shared" si="115"/>
        <v>6.36</v>
      </c>
    </row>
    <row r="1851" spans="1:6" x14ac:dyDescent="0.25">
      <c r="A1851" s="1">
        <v>38967</v>
      </c>
      <c r="B1851">
        <v>6.47</v>
      </c>
      <c r="C1851" s="11">
        <f t="shared" si="112"/>
        <v>6.4699999999999994E-2</v>
      </c>
      <c r="D1851">
        <f t="shared" si="113"/>
        <v>2006</v>
      </c>
      <c r="E1851" t="str">
        <f t="shared" si="114"/>
        <v>Sep-2006</v>
      </c>
      <c r="F1851" s="12">
        <f t="shared" si="115"/>
        <v>6.36</v>
      </c>
    </row>
    <row r="1852" spans="1:6" x14ac:dyDescent="0.25">
      <c r="A1852" s="1">
        <v>38974</v>
      </c>
      <c r="B1852">
        <v>6.43</v>
      </c>
      <c r="C1852" s="11">
        <f t="shared" si="112"/>
        <v>6.4299999999999996E-2</v>
      </c>
      <c r="D1852">
        <f t="shared" si="113"/>
        <v>2006</v>
      </c>
      <c r="E1852" t="str">
        <f t="shared" si="114"/>
        <v>Sep-2006</v>
      </c>
      <c r="F1852" s="12">
        <f t="shared" si="115"/>
        <v>6.36</v>
      </c>
    </row>
    <row r="1853" spans="1:6" x14ac:dyDescent="0.25">
      <c r="A1853" s="1">
        <v>38981</v>
      </c>
      <c r="B1853">
        <v>6.4</v>
      </c>
      <c r="C1853" s="11">
        <f t="shared" si="112"/>
        <v>6.4000000000000001E-2</v>
      </c>
      <c r="D1853">
        <f t="shared" si="113"/>
        <v>2006</v>
      </c>
      <c r="E1853" t="str">
        <f t="shared" si="114"/>
        <v>Sep-2006</v>
      </c>
      <c r="F1853" s="12">
        <f t="shared" si="115"/>
        <v>6.36</v>
      </c>
    </row>
    <row r="1854" spans="1:6" x14ac:dyDescent="0.25">
      <c r="A1854" s="1">
        <v>38988</v>
      </c>
      <c r="B1854">
        <v>6.31</v>
      </c>
      <c r="C1854" s="11">
        <f t="shared" si="112"/>
        <v>6.3099999999999989E-2</v>
      </c>
      <c r="D1854">
        <f t="shared" si="113"/>
        <v>2006</v>
      </c>
      <c r="E1854" t="str">
        <f t="shared" si="114"/>
        <v>Sep-2006</v>
      </c>
      <c r="F1854" s="12">
        <f t="shared" si="115"/>
        <v>6.36</v>
      </c>
    </row>
    <row r="1855" spans="1:6" x14ac:dyDescent="0.25">
      <c r="A1855" s="1">
        <v>38995</v>
      </c>
      <c r="B1855">
        <v>6.3</v>
      </c>
      <c r="C1855" s="11">
        <f t="shared" si="112"/>
        <v>6.3E-2</v>
      </c>
      <c r="D1855">
        <f t="shared" si="113"/>
        <v>2006</v>
      </c>
      <c r="E1855" t="str">
        <f t="shared" si="114"/>
        <v>Oct-2006</v>
      </c>
      <c r="F1855" s="12">
        <f t="shared" si="115"/>
        <v>6.36</v>
      </c>
    </row>
    <row r="1856" spans="1:6" x14ac:dyDescent="0.25">
      <c r="A1856" s="1">
        <v>39002</v>
      </c>
      <c r="B1856">
        <v>6.37</v>
      </c>
      <c r="C1856" s="11">
        <f t="shared" si="112"/>
        <v>6.3700000000000007E-2</v>
      </c>
      <c r="D1856">
        <f t="shared" si="113"/>
        <v>2006</v>
      </c>
      <c r="E1856" t="str">
        <f t="shared" si="114"/>
        <v>Oct-2006</v>
      </c>
      <c r="F1856" s="12">
        <f t="shared" si="115"/>
        <v>6.36</v>
      </c>
    </row>
    <row r="1857" spans="1:6" x14ac:dyDescent="0.25">
      <c r="A1857" s="1">
        <v>39009</v>
      </c>
      <c r="B1857">
        <v>6.36</v>
      </c>
      <c r="C1857" s="11">
        <f t="shared" si="112"/>
        <v>6.3600000000000004E-2</v>
      </c>
      <c r="D1857">
        <f t="shared" si="113"/>
        <v>2006</v>
      </c>
      <c r="E1857" t="str">
        <f t="shared" si="114"/>
        <v>Oct-2006</v>
      </c>
      <c r="F1857" s="12">
        <f t="shared" si="115"/>
        <v>6.36</v>
      </c>
    </row>
    <row r="1858" spans="1:6" x14ac:dyDescent="0.25">
      <c r="A1858" s="1">
        <v>39016</v>
      </c>
      <c r="B1858">
        <v>6.4</v>
      </c>
      <c r="C1858" s="11">
        <f t="shared" ref="C1858:C1921" si="116">B1858/100</f>
        <v>6.4000000000000001E-2</v>
      </c>
      <c r="D1858">
        <f t="shared" ref="D1858:D1921" si="117">YEAR(A1858)</f>
        <v>2006</v>
      </c>
      <c r="E1858" t="str">
        <f t="shared" ref="E1858:E1921" si="118">TEXT(A1858,"MMM-YYYY")</f>
        <v>Oct-2006</v>
      </c>
      <c r="F1858" s="12">
        <f t="shared" ref="F1858:F1921" si="119">$H$2</f>
        <v>6.36</v>
      </c>
    </row>
    <row r="1859" spans="1:6" x14ac:dyDescent="0.25">
      <c r="A1859" s="1">
        <v>39023</v>
      </c>
      <c r="B1859">
        <v>6.31</v>
      </c>
      <c r="C1859" s="11">
        <f t="shared" si="116"/>
        <v>6.3099999999999989E-2</v>
      </c>
      <c r="D1859">
        <f t="shared" si="117"/>
        <v>2006</v>
      </c>
      <c r="E1859" t="str">
        <f t="shared" si="118"/>
        <v>Nov-2006</v>
      </c>
      <c r="F1859" s="12">
        <f t="shared" si="119"/>
        <v>6.36</v>
      </c>
    </row>
    <row r="1860" spans="1:6" x14ac:dyDescent="0.25">
      <c r="A1860" s="1">
        <v>39030</v>
      </c>
      <c r="B1860">
        <v>6.33</v>
      </c>
      <c r="C1860" s="11">
        <f t="shared" si="116"/>
        <v>6.3299999999999995E-2</v>
      </c>
      <c r="D1860">
        <f t="shared" si="117"/>
        <v>2006</v>
      </c>
      <c r="E1860" t="str">
        <f t="shared" si="118"/>
        <v>Nov-2006</v>
      </c>
      <c r="F1860" s="12">
        <f t="shared" si="119"/>
        <v>6.36</v>
      </c>
    </row>
    <row r="1861" spans="1:6" x14ac:dyDescent="0.25">
      <c r="A1861" s="1">
        <v>39037</v>
      </c>
      <c r="B1861">
        <v>6.24</v>
      </c>
      <c r="C1861" s="11">
        <f t="shared" si="116"/>
        <v>6.2400000000000004E-2</v>
      </c>
      <c r="D1861">
        <f t="shared" si="117"/>
        <v>2006</v>
      </c>
      <c r="E1861" t="str">
        <f t="shared" si="118"/>
        <v>Nov-2006</v>
      </c>
      <c r="F1861" s="12">
        <f t="shared" si="119"/>
        <v>6.36</v>
      </c>
    </row>
    <row r="1862" spans="1:6" x14ac:dyDescent="0.25">
      <c r="A1862" s="1">
        <v>39043</v>
      </c>
      <c r="B1862">
        <v>6.18</v>
      </c>
      <c r="C1862" s="11">
        <f t="shared" si="116"/>
        <v>6.1799999999999994E-2</v>
      </c>
      <c r="D1862">
        <f t="shared" si="117"/>
        <v>2006</v>
      </c>
      <c r="E1862" t="str">
        <f t="shared" si="118"/>
        <v>Nov-2006</v>
      </c>
      <c r="F1862" s="12">
        <f t="shared" si="119"/>
        <v>6.36</v>
      </c>
    </row>
    <row r="1863" spans="1:6" x14ac:dyDescent="0.25">
      <c r="A1863" s="1">
        <v>39051</v>
      </c>
      <c r="B1863">
        <v>6.14</v>
      </c>
      <c r="C1863" s="11">
        <f t="shared" si="116"/>
        <v>6.1399999999999996E-2</v>
      </c>
      <c r="D1863">
        <f t="shared" si="117"/>
        <v>2006</v>
      </c>
      <c r="E1863" t="str">
        <f t="shared" si="118"/>
        <v>Nov-2006</v>
      </c>
      <c r="F1863" s="12">
        <f t="shared" si="119"/>
        <v>6.36</v>
      </c>
    </row>
    <row r="1864" spans="1:6" x14ac:dyDescent="0.25">
      <c r="A1864" s="1">
        <v>39058</v>
      </c>
      <c r="B1864">
        <v>6.11</v>
      </c>
      <c r="C1864" s="11">
        <f t="shared" si="116"/>
        <v>6.1100000000000002E-2</v>
      </c>
      <c r="D1864">
        <f t="shared" si="117"/>
        <v>2006</v>
      </c>
      <c r="E1864" t="str">
        <f t="shared" si="118"/>
        <v>Dec-2006</v>
      </c>
      <c r="F1864" s="12">
        <f t="shared" si="119"/>
        <v>6.36</v>
      </c>
    </row>
    <row r="1865" spans="1:6" x14ac:dyDescent="0.25">
      <c r="A1865" s="1">
        <v>39065</v>
      </c>
      <c r="B1865">
        <v>6.12</v>
      </c>
      <c r="C1865" s="11">
        <f t="shared" si="116"/>
        <v>6.1200000000000004E-2</v>
      </c>
      <c r="D1865">
        <f t="shared" si="117"/>
        <v>2006</v>
      </c>
      <c r="E1865" t="str">
        <f t="shared" si="118"/>
        <v>Dec-2006</v>
      </c>
      <c r="F1865" s="12">
        <f t="shared" si="119"/>
        <v>6.36</v>
      </c>
    </row>
    <row r="1866" spans="1:6" x14ac:dyDescent="0.25">
      <c r="A1866" s="1">
        <v>39072</v>
      </c>
      <c r="B1866">
        <v>6.13</v>
      </c>
      <c r="C1866" s="11">
        <f t="shared" si="116"/>
        <v>6.13E-2</v>
      </c>
      <c r="D1866">
        <f t="shared" si="117"/>
        <v>2006</v>
      </c>
      <c r="E1866" t="str">
        <f t="shared" si="118"/>
        <v>Dec-2006</v>
      </c>
      <c r="F1866" s="12">
        <f t="shared" si="119"/>
        <v>6.36</v>
      </c>
    </row>
    <row r="1867" spans="1:6" x14ac:dyDescent="0.25">
      <c r="A1867" s="1">
        <v>39079</v>
      </c>
      <c r="B1867">
        <v>6.18</v>
      </c>
      <c r="C1867" s="11">
        <f t="shared" si="116"/>
        <v>6.1799999999999994E-2</v>
      </c>
      <c r="D1867">
        <f t="shared" si="117"/>
        <v>2006</v>
      </c>
      <c r="E1867" t="str">
        <f t="shared" si="118"/>
        <v>Dec-2006</v>
      </c>
      <c r="F1867" s="12">
        <f t="shared" si="119"/>
        <v>6.36</v>
      </c>
    </row>
    <row r="1868" spans="1:6" x14ac:dyDescent="0.25">
      <c r="A1868" s="1">
        <v>39086</v>
      </c>
      <c r="B1868">
        <v>6.18</v>
      </c>
      <c r="C1868" s="11">
        <f t="shared" si="116"/>
        <v>6.1799999999999994E-2</v>
      </c>
      <c r="D1868">
        <f t="shared" si="117"/>
        <v>2007</v>
      </c>
      <c r="E1868" t="str">
        <f t="shared" si="118"/>
        <v>Jan-2007</v>
      </c>
      <c r="F1868" s="12">
        <f t="shared" si="119"/>
        <v>6.36</v>
      </c>
    </row>
    <row r="1869" spans="1:6" x14ac:dyDescent="0.25">
      <c r="A1869" s="1">
        <v>39093</v>
      </c>
      <c r="B1869">
        <v>6.21</v>
      </c>
      <c r="C1869" s="11">
        <f t="shared" si="116"/>
        <v>6.2100000000000002E-2</v>
      </c>
      <c r="D1869">
        <f t="shared" si="117"/>
        <v>2007</v>
      </c>
      <c r="E1869" t="str">
        <f t="shared" si="118"/>
        <v>Jan-2007</v>
      </c>
      <c r="F1869" s="12">
        <f t="shared" si="119"/>
        <v>6.36</v>
      </c>
    </row>
    <row r="1870" spans="1:6" x14ac:dyDescent="0.25">
      <c r="A1870" s="1">
        <v>39100</v>
      </c>
      <c r="B1870">
        <v>6.23</v>
      </c>
      <c r="C1870" s="11">
        <f t="shared" si="116"/>
        <v>6.2300000000000001E-2</v>
      </c>
      <c r="D1870">
        <f t="shared" si="117"/>
        <v>2007</v>
      </c>
      <c r="E1870" t="str">
        <f t="shared" si="118"/>
        <v>Jan-2007</v>
      </c>
      <c r="F1870" s="12">
        <f t="shared" si="119"/>
        <v>6.36</v>
      </c>
    </row>
    <row r="1871" spans="1:6" x14ac:dyDescent="0.25">
      <c r="A1871" s="1">
        <v>39107</v>
      </c>
      <c r="B1871">
        <v>6.25</v>
      </c>
      <c r="C1871" s="11">
        <f t="shared" si="116"/>
        <v>6.25E-2</v>
      </c>
      <c r="D1871">
        <f t="shared" si="117"/>
        <v>2007</v>
      </c>
      <c r="E1871" t="str">
        <f t="shared" si="118"/>
        <v>Jan-2007</v>
      </c>
      <c r="F1871" s="12">
        <f t="shared" si="119"/>
        <v>6.36</v>
      </c>
    </row>
    <row r="1872" spans="1:6" x14ac:dyDescent="0.25">
      <c r="A1872" s="1">
        <v>39114</v>
      </c>
      <c r="B1872">
        <v>6.34</v>
      </c>
      <c r="C1872" s="11">
        <f t="shared" si="116"/>
        <v>6.3399999999999998E-2</v>
      </c>
      <c r="D1872">
        <f t="shared" si="117"/>
        <v>2007</v>
      </c>
      <c r="E1872" t="str">
        <f t="shared" si="118"/>
        <v>Feb-2007</v>
      </c>
      <c r="F1872" s="12">
        <f t="shared" si="119"/>
        <v>6.36</v>
      </c>
    </row>
    <row r="1873" spans="1:6" x14ac:dyDescent="0.25">
      <c r="A1873" s="1">
        <v>39121</v>
      </c>
      <c r="B1873">
        <v>6.28</v>
      </c>
      <c r="C1873" s="11">
        <f t="shared" si="116"/>
        <v>6.2800000000000009E-2</v>
      </c>
      <c r="D1873">
        <f t="shared" si="117"/>
        <v>2007</v>
      </c>
      <c r="E1873" t="str">
        <f t="shared" si="118"/>
        <v>Feb-2007</v>
      </c>
      <c r="F1873" s="12">
        <f t="shared" si="119"/>
        <v>6.36</v>
      </c>
    </row>
    <row r="1874" spans="1:6" x14ac:dyDescent="0.25">
      <c r="A1874" s="1">
        <v>39128</v>
      </c>
      <c r="B1874">
        <v>6.3</v>
      </c>
      <c r="C1874" s="11">
        <f t="shared" si="116"/>
        <v>6.3E-2</v>
      </c>
      <c r="D1874">
        <f t="shared" si="117"/>
        <v>2007</v>
      </c>
      <c r="E1874" t="str">
        <f t="shared" si="118"/>
        <v>Feb-2007</v>
      </c>
      <c r="F1874" s="12">
        <f t="shared" si="119"/>
        <v>6.36</v>
      </c>
    </row>
    <row r="1875" spans="1:6" x14ac:dyDescent="0.25">
      <c r="A1875" s="1">
        <v>39135</v>
      </c>
      <c r="B1875">
        <v>6.22</v>
      </c>
      <c r="C1875" s="11">
        <f t="shared" si="116"/>
        <v>6.2199999999999998E-2</v>
      </c>
      <c r="D1875">
        <f t="shared" si="117"/>
        <v>2007</v>
      </c>
      <c r="E1875" t="str">
        <f t="shared" si="118"/>
        <v>Feb-2007</v>
      </c>
      <c r="F1875" s="12">
        <f t="shared" si="119"/>
        <v>6.36</v>
      </c>
    </row>
    <row r="1876" spans="1:6" x14ac:dyDescent="0.25">
      <c r="A1876" s="1">
        <v>39142</v>
      </c>
      <c r="B1876">
        <v>6.18</v>
      </c>
      <c r="C1876" s="11">
        <f t="shared" si="116"/>
        <v>6.1799999999999994E-2</v>
      </c>
      <c r="D1876">
        <f t="shared" si="117"/>
        <v>2007</v>
      </c>
      <c r="E1876" t="str">
        <f t="shared" si="118"/>
        <v>Mar-2007</v>
      </c>
      <c r="F1876" s="12">
        <f t="shared" si="119"/>
        <v>6.36</v>
      </c>
    </row>
    <row r="1877" spans="1:6" x14ac:dyDescent="0.25">
      <c r="A1877" s="1">
        <v>39149</v>
      </c>
      <c r="B1877">
        <v>6.14</v>
      </c>
      <c r="C1877" s="11">
        <f t="shared" si="116"/>
        <v>6.1399999999999996E-2</v>
      </c>
      <c r="D1877">
        <f t="shared" si="117"/>
        <v>2007</v>
      </c>
      <c r="E1877" t="str">
        <f t="shared" si="118"/>
        <v>Mar-2007</v>
      </c>
      <c r="F1877" s="12">
        <f t="shared" si="119"/>
        <v>6.36</v>
      </c>
    </row>
    <row r="1878" spans="1:6" x14ac:dyDescent="0.25">
      <c r="A1878" s="1">
        <v>39156</v>
      </c>
      <c r="B1878">
        <v>6.14</v>
      </c>
      <c r="C1878" s="11">
        <f t="shared" si="116"/>
        <v>6.1399999999999996E-2</v>
      </c>
      <c r="D1878">
        <f t="shared" si="117"/>
        <v>2007</v>
      </c>
      <c r="E1878" t="str">
        <f t="shared" si="118"/>
        <v>Mar-2007</v>
      </c>
      <c r="F1878" s="12">
        <f t="shared" si="119"/>
        <v>6.36</v>
      </c>
    </row>
    <row r="1879" spans="1:6" x14ac:dyDescent="0.25">
      <c r="A1879" s="1">
        <v>39163</v>
      </c>
      <c r="B1879">
        <v>6.16</v>
      </c>
      <c r="C1879" s="11">
        <f t="shared" si="116"/>
        <v>6.1600000000000002E-2</v>
      </c>
      <c r="D1879">
        <f t="shared" si="117"/>
        <v>2007</v>
      </c>
      <c r="E1879" t="str">
        <f t="shared" si="118"/>
        <v>Mar-2007</v>
      </c>
      <c r="F1879" s="12">
        <f t="shared" si="119"/>
        <v>6.36</v>
      </c>
    </row>
    <row r="1880" spans="1:6" x14ac:dyDescent="0.25">
      <c r="A1880" s="1">
        <v>39170</v>
      </c>
      <c r="B1880">
        <v>6.16</v>
      </c>
      <c r="C1880" s="11">
        <f t="shared" si="116"/>
        <v>6.1600000000000002E-2</v>
      </c>
      <c r="D1880">
        <f t="shared" si="117"/>
        <v>2007</v>
      </c>
      <c r="E1880" t="str">
        <f t="shared" si="118"/>
        <v>Mar-2007</v>
      </c>
      <c r="F1880" s="12">
        <f t="shared" si="119"/>
        <v>6.36</v>
      </c>
    </row>
    <row r="1881" spans="1:6" x14ac:dyDescent="0.25">
      <c r="A1881" s="1">
        <v>39177</v>
      </c>
      <c r="B1881">
        <v>6.17</v>
      </c>
      <c r="C1881" s="11">
        <f t="shared" si="116"/>
        <v>6.1699999999999998E-2</v>
      </c>
      <c r="D1881">
        <f t="shared" si="117"/>
        <v>2007</v>
      </c>
      <c r="E1881" t="str">
        <f t="shared" si="118"/>
        <v>Apr-2007</v>
      </c>
      <c r="F1881" s="12">
        <f t="shared" si="119"/>
        <v>6.36</v>
      </c>
    </row>
    <row r="1882" spans="1:6" x14ac:dyDescent="0.25">
      <c r="A1882" s="1">
        <v>39184</v>
      </c>
      <c r="B1882">
        <v>6.22</v>
      </c>
      <c r="C1882" s="11">
        <f t="shared" si="116"/>
        <v>6.2199999999999998E-2</v>
      </c>
      <c r="D1882">
        <f t="shared" si="117"/>
        <v>2007</v>
      </c>
      <c r="E1882" t="str">
        <f t="shared" si="118"/>
        <v>Apr-2007</v>
      </c>
      <c r="F1882" s="12">
        <f t="shared" si="119"/>
        <v>6.36</v>
      </c>
    </row>
    <row r="1883" spans="1:6" x14ac:dyDescent="0.25">
      <c r="A1883" s="1">
        <v>39191</v>
      </c>
      <c r="B1883">
        <v>6.17</v>
      </c>
      <c r="C1883" s="11">
        <f t="shared" si="116"/>
        <v>6.1699999999999998E-2</v>
      </c>
      <c r="D1883">
        <f t="shared" si="117"/>
        <v>2007</v>
      </c>
      <c r="E1883" t="str">
        <f t="shared" si="118"/>
        <v>Apr-2007</v>
      </c>
      <c r="F1883" s="12">
        <f t="shared" si="119"/>
        <v>6.36</v>
      </c>
    </row>
    <row r="1884" spans="1:6" x14ac:dyDescent="0.25">
      <c r="A1884" s="1">
        <v>39198</v>
      </c>
      <c r="B1884">
        <v>6.16</v>
      </c>
      <c r="C1884" s="11">
        <f t="shared" si="116"/>
        <v>6.1600000000000002E-2</v>
      </c>
      <c r="D1884">
        <f t="shared" si="117"/>
        <v>2007</v>
      </c>
      <c r="E1884" t="str">
        <f t="shared" si="118"/>
        <v>Apr-2007</v>
      </c>
      <c r="F1884" s="12">
        <f t="shared" si="119"/>
        <v>6.36</v>
      </c>
    </row>
    <row r="1885" spans="1:6" x14ac:dyDescent="0.25">
      <c r="A1885" s="1">
        <v>39205</v>
      </c>
      <c r="B1885">
        <v>6.16</v>
      </c>
      <c r="C1885" s="11">
        <f t="shared" si="116"/>
        <v>6.1600000000000002E-2</v>
      </c>
      <c r="D1885">
        <f t="shared" si="117"/>
        <v>2007</v>
      </c>
      <c r="E1885" t="str">
        <f t="shared" si="118"/>
        <v>May-2007</v>
      </c>
      <c r="F1885" s="12">
        <f t="shared" si="119"/>
        <v>6.36</v>
      </c>
    </row>
    <row r="1886" spans="1:6" x14ac:dyDescent="0.25">
      <c r="A1886" s="1">
        <v>39212</v>
      </c>
      <c r="B1886">
        <v>6.15</v>
      </c>
      <c r="C1886" s="11">
        <f t="shared" si="116"/>
        <v>6.1500000000000006E-2</v>
      </c>
      <c r="D1886">
        <f t="shared" si="117"/>
        <v>2007</v>
      </c>
      <c r="E1886" t="str">
        <f t="shared" si="118"/>
        <v>May-2007</v>
      </c>
      <c r="F1886" s="12">
        <f t="shared" si="119"/>
        <v>6.36</v>
      </c>
    </row>
    <row r="1887" spans="1:6" x14ac:dyDescent="0.25">
      <c r="A1887" s="1">
        <v>39219</v>
      </c>
      <c r="B1887">
        <v>6.21</v>
      </c>
      <c r="C1887" s="11">
        <f t="shared" si="116"/>
        <v>6.2100000000000002E-2</v>
      </c>
      <c r="D1887">
        <f t="shared" si="117"/>
        <v>2007</v>
      </c>
      <c r="E1887" t="str">
        <f t="shared" si="118"/>
        <v>May-2007</v>
      </c>
      <c r="F1887" s="12">
        <f t="shared" si="119"/>
        <v>6.36</v>
      </c>
    </row>
    <row r="1888" spans="1:6" x14ac:dyDescent="0.25">
      <c r="A1888" s="1">
        <v>39226</v>
      </c>
      <c r="B1888">
        <v>6.37</v>
      </c>
      <c r="C1888" s="11">
        <f t="shared" si="116"/>
        <v>6.3700000000000007E-2</v>
      </c>
      <c r="D1888">
        <f t="shared" si="117"/>
        <v>2007</v>
      </c>
      <c r="E1888" t="str">
        <f t="shared" si="118"/>
        <v>May-2007</v>
      </c>
      <c r="F1888" s="12">
        <f t="shared" si="119"/>
        <v>6.36</v>
      </c>
    </row>
    <row r="1889" spans="1:6" x14ac:dyDescent="0.25">
      <c r="A1889" s="1">
        <v>39233</v>
      </c>
      <c r="B1889">
        <v>6.42</v>
      </c>
      <c r="C1889" s="11">
        <f t="shared" si="116"/>
        <v>6.4199999999999993E-2</v>
      </c>
      <c r="D1889">
        <f t="shared" si="117"/>
        <v>2007</v>
      </c>
      <c r="E1889" t="str">
        <f t="shared" si="118"/>
        <v>May-2007</v>
      </c>
      <c r="F1889" s="12">
        <f t="shared" si="119"/>
        <v>6.36</v>
      </c>
    </row>
    <row r="1890" spans="1:6" x14ac:dyDescent="0.25">
      <c r="A1890" s="1">
        <v>39240</v>
      </c>
      <c r="B1890">
        <v>6.53</v>
      </c>
      <c r="C1890" s="11">
        <f t="shared" si="116"/>
        <v>6.5299999999999997E-2</v>
      </c>
      <c r="D1890">
        <f t="shared" si="117"/>
        <v>2007</v>
      </c>
      <c r="E1890" t="str">
        <f t="shared" si="118"/>
        <v>Jun-2007</v>
      </c>
      <c r="F1890" s="12">
        <f t="shared" si="119"/>
        <v>6.36</v>
      </c>
    </row>
    <row r="1891" spans="1:6" x14ac:dyDescent="0.25">
      <c r="A1891" s="1">
        <v>39247</v>
      </c>
      <c r="B1891">
        <v>6.74</v>
      </c>
      <c r="C1891" s="11">
        <f t="shared" si="116"/>
        <v>6.7400000000000002E-2</v>
      </c>
      <c r="D1891">
        <f t="shared" si="117"/>
        <v>2007</v>
      </c>
      <c r="E1891" t="str">
        <f t="shared" si="118"/>
        <v>Jun-2007</v>
      </c>
      <c r="F1891" s="12">
        <f t="shared" si="119"/>
        <v>6.36</v>
      </c>
    </row>
    <row r="1892" spans="1:6" x14ac:dyDescent="0.25">
      <c r="A1892" s="1">
        <v>39254</v>
      </c>
      <c r="B1892">
        <v>6.69</v>
      </c>
      <c r="C1892" s="11">
        <f t="shared" si="116"/>
        <v>6.6900000000000001E-2</v>
      </c>
      <c r="D1892">
        <f t="shared" si="117"/>
        <v>2007</v>
      </c>
      <c r="E1892" t="str">
        <f t="shared" si="118"/>
        <v>Jun-2007</v>
      </c>
      <c r="F1892" s="12">
        <f t="shared" si="119"/>
        <v>6.36</v>
      </c>
    </row>
    <row r="1893" spans="1:6" x14ac:dyDescent="0.25">
      <c r="A1893" s="1">
        <v>39261</v>
      </c>
      <c r="B1893">
        <v>6.67</v>
      </c>
      <c r="C1893" s="11">
        <f t="shared" si="116"/>
        <v>6.6699999999999995E-2</v>
      </c>
      <c r="D1893">
        <f t="shared" si="117"/>
        <v>2007</v>
      </c>
      <c r="E1893" t="str">
        <f t="shared" si="118"/>
        <v>Jun-2007</v>
      </c>
      <c r="F1893" s="12">
        <f t="shared" si="119"/>
        <v>6.36</v>
      </c>
    </row>
    <row r="1894" spans="1:6" x14ac:dyDescent="0.25">
      <c r="A1894" s="1">
        <v>39268</v>
      </c>
      <c r="B1894">
        <v>6.63</v>
      </c>
      <c r="C1894" s="11">
        <f t="shared" si="116"/>
        <v>6.6299999999999998E-2</v>
      </c>
      <c r="D1894">
        <f t="shared" si="117"/>
        <v>2007</v>
      </c>
      <c r="E1894" t="str">
        <f t="shared" si="118"/>
        <v>Jul-2007</v>
      </c>
      <c r="F1894" s="12">
        <f t="shared" si="119"/>
        <v>6.36</v>
      </c>
    </row>
    <row r="1895" spans="1:6" x14ac:dyDescent="0.25">
      <c r="A1895" s="1">
        <v>39275</v>
      </c>
      <c r="B1895">
        <v>6.73</v>
      </c>
      <c r="C1895" s="11">
        <f t="shared" si="116"/>
        <v>6.7299999999999999E-2</v>
      </c>
      <c r="D1895">
        <f t="shared" si="117"/>
        <v>2007</v>
      </c>
      <c r="E1895" t="str">
        <f t="shared" si="118"/>
        <v>Jul-2007</v>
      </c>
      <c r="F1895" s="12">
        <f t="shared" si="119"/>
        <v>6.36</v>
      </c>
    </row>
    <row r="1896" spans="1:6" x14ac:dyDescent="0.25">
      <c r="A1896" s="1">
        <v>39282</v>
      </c>
      <c r="B1896">
        <v>6.73</v>
      </c>
      <c r="C1896" s="11">
        <f t="shared" si="116"/>
        <v>6.7299999999999999E-2</v>
      </c>
      <c r="D1896">
        <f t="shared" si="117"/>
        <v>2007</v>
      </c>
      <c r="E1896" t="str">
        <f t="shared" si="118"/>
        <v>Jul-2007</v>
      </c>
      <c r="F1896" s="12">
        <f t="shared" si="119"/>
        <v>6.36</v>
      </c>
    </row>
    <row r="1897" spans="1:6" x14ac:dyDescent="0.25">
      <c r="A1897" s="1">
        <v>39289</v>
      </c>
      <c r="B1897">
        <v>6.69</v>
      </c>
      <c r="C1897" s="11">
        <f t="shared" si="116"/>
        <v>6.6900000000000001E-2</v>
      </c>
      <c r="D1897">
        <f t="shared" si="117"/>
        <v>2007</v>
      </c>
      <c r="E1897" t="str">
        <f t="shared" si="118"/>
        <v>Jul-2007</v>
      </c>
      <c r="F1897" s="12">
        <f t="shared" si="119"/>
        <v>6.36</v>
      </c>
    </row>
    <row r="1898" spans="1:6" x14ac:dyDescent="0.25">
      <c r="A1898" s="1">
        <v>39296</v>
      </c>
      <c r="B1898">
        <v>6.68</v>
      </c>
      <c r="C1898" s="11">
        <f t="shared" si="116"/>
        <v>6.6799999999999998E-2</v>
      </c>
      <c r="D1898">
        <f t="shared" si="117"/>
        <v>2007</v>
      </c>
      <c r="E1898" t="str">
        <f t="shared" si="118"/>
        <v>Aug-2007</v>
      </c>
      <c r="F1898" s="12">
        <f t="shared" si="119"/>
        <v>6.36</v>
      </c>
    </row>
    <row r="1899" spans="1:6" x14ac:dyDescent="0.25">
      <c r="A1899" s="1">
        <v>39303</v>
      </c>
      <c r="B1899">
        <v>6.59</v>
      </c>
      <c r="C1899" s="11">
        <f t="shared" si="116"/>
        <v>6.59E-2</v>
      </c>
      <c r="D1899">
        <f t="shared" si="117"/>
        <v>2007</v>
      </c>
      <c r="E1899" t="str">
        <f t="shared" si="118"/>
        <v>Aug-2007</v>
      </c>
      <c r="F1899" s="12">
        <f t="shared" si="119"/>
        <v>6.36</v>
      </c>
    </row>
    <row r="1900" spans="1:6" x14ac:dyDescent="0.25">
      <c r="A1900" s="1">
        <v>39310</v>
      </c>
      <c r="B1900">
        <v>6.62</v>
      </c>
      <c r="C1900" s="11">
        <f t="shared" si="116"/>
        <v>6.6199999999999995E-2</v>
      </c>
      <c r="D1900">
        <f t="shared" si="117"/>
        <v>2007</v>
      </c>
      <c r="E1900" t="str">
        <f t="shared" si="118"/>
        <v>Aug-2007</v>
      </c>
      <c r="F1900" s="12">
        <f t="shared" si="119"/>
        <v>6.36</v>
      </c>
    </row>
    <row r="1901" spans="1:6" x14ac:dyDescent="0.25">
      <c r="A1901" s="1">
        <v>39317</v>
      </c>
      <c r="B1901">
        <v>6.52</v>
      </c>
      <c r="C1901" s="11">
        <f t="shared" si="116"/>
        <v>6.5199999999999994E-2</v>
      </c>
      <c r="D1901">
        <f t="shared" si="117"/>
        <v>2007</v>
      </c>
      <c r="E1901" t="str">
        <f t="shared" si="118"/>
        <v>Aug-2007</v>
      </c>
      <c r="F1901" s="12">
        <f t="shared" si="119"/>
        <v>6.36</v>
      </c>
    </row>
    <row r="1902" spans="1:6" x14ac:dyDescent="0.25">
      <c r="A1902" s="1">
        <v>39324</v>
      </c>
      <c r="B1902">
        <v>6.45</v>
      </c>
      <c r="C1902" s="11">
        <f t="shared" si="116"/>
        <v>6.4500000000000002E-2</v>
      </c>
      <c r="D1902">
        <f t="shared" si="117"/>
        <v>2007</v>
      </c>
      <c r="E1902" t="str">
        <f t="shared" si="118"/>
        <v>Aug-2007</v>
      </c>
      <c r="F1902" s="12">
        <f t="shared" si="119"/>
        <v>6.36</v>
      </c>
    </row>
    <row r="1903" spans="1:6" x14ac:dyDescent="0.25">
      <c r="A1903" s="1">
        <v>39331</v>
      </c>
      <c r="B1903">
        <v>6.46</v>
      </c>
      <c r="C1903" s="11">
        <f t="shared" si="116"/>
        <v>6.4600000000000005E-2</v>
      </c>
      <c r="D1903">
        <f t="shared" si="117"/>
        <v>2007</v>
      </c>
      <c r="E1903" t="str">
        <f t="shared" si="118"/>
        <v>Sep-2007</v>
      </c>
      <c r="F1903" s="12">
        <f t="shared" si="119"/>
        <v>6.36</v>
      </c>
    </row>
    <row r="1904" spans="1:6" x14ac:dyDescent="0.25">
      <c r="A1904" s="1">
        <v>39338</v>
      </c>
      <c r="B1904">
        <v>6.31</v>
      </c>
      <c r="C1904" s="11">
        <f t="shared" si="116"/>
        <v>6.3099999999999989E-2</v>
      </c>
      <c r="D1904">
        <f t="shared" si="117"/>
        <v>2007</v>
      </c>
      <c r="E1904" t="str">
        <f t="shared" si="118"/>
        <v>Sep-2007</v>
      </c>
      <c r="F1904" s="12">
        <f t="shared" si="119"/>
        <v>6.36</v>
      </c>
    </row>
    <row r="1905" spans="1:6" x14ac:dyDescent="0.25">
      <c r="A1905" s="1">
        <v>39345</v>
      </c>
      <c r="B1905">
        <v>6.34</v>
      </c>
      <c r="C1905" s="11">
        <f t="shared" si="116"/>
        <v>6.3399999999999998E-2</v>
      </c>
      <c r="D1905">
        <f t="shared" si="117"/>
        <v>2007</v>
      </c>
      <c r="E1905" t="str">
        <f t="shared" si="118"/>
        <v>Sep-2007</v>
      </c>
      <c r="F1905" s="12">
        <f t="shared" si="119"/>
        <v>6.36</v>
      </c>
    </row>
    <row r="1906" spans="1:6" x14ac:dyDescent="0.25">
      <c r="A1906" s="1">
        <v>39352</v>
      </c>
      <c r="B1906">
        <v>6.42</v>
      </c>
      <c r="C1906" s="11">
        <f t="shared" si="116"/>
        <v>6.4199999999999993E-2</v>
      </c>
      <c r="D1906">
        <f t="shared" si="117"/>
        <v>2007</v>
      </c>
      <c r="E1906" t="str">
        <f t="shared" si="118"/>
        <v>Sep-2007</v>
      </c>
      <c r="F1906" s="12">
        <f t="shared" si="119"/>
        <v>6.36</v>
      </c>
    </row>
    <row r="1907" spans="1:6" x14ac:dyDescent="0.25">
      <c r="A1907" s="1">
        <v>39359</v>
      </c>
      <c r="B1907">
        <v>6.37</v>
      </c>
      <c r="C1907" s="11">
        <f t="shared" si="116"/>
        <v>6.3700000000000007E-2</v>
      </c>
      <c r="D1907">
        <f t="shared" si="117"/>
        <v>2007</v>
      </c>
      <c r="E1907" t="str">
        <f t="shared" si="118"/>
        <v>Oct-2007</v>
      </c>
      <c r="F1907" s="12">
        <f t="shared" si="119"/>
        <v>6.36</v>
      </c>
    </row>
    <row r="1908" spans="1:6" x14ac:dyDescent="0.25">
      <c r="A1908" s="1">
        <v>39366</v>
      </c>
      <c r="B1908">
        <v>6.4</v>
      </c>
      <c r="C1908" s="11">
        <f t="shared" si="116"/>
        <v>6.4000000000000001E-2</v>
      </c>
      <c r="D1908">
        <f t="shared" si="117"/>
        <v>2007</v>
      </c>
      <c r="E1908" t="str">
        <f t="shared" si="118"/>
        <v>Oct-2007</v>
      </c>
      <c r="F1908" s="12">
        <f t="shared" si="119"/>
        <v>6.36</v>
      </c>
    </row>
    <row r="1909" spans="1:6" x14ac:dyDescent="0.25">
      <c r="A1909" s="1">
        <v>39373</v>
      </c>
      <c r="B1909">
        <v>6.4</v>
      </c>
      <c r="C1909" s="11">
        <f t="shared" si="116"/>
        <v>6.4000000000000001E-2</v>
      </c>
      <c r="D1909">
        <f t="shared" si="117"/>
        <v>2007</v>
      </c>
      <c r="E1909" t="str">
        <f t="shared" si="118"/>
        <v>Oct-2007</v>
      </c>
      <c r="F1909" s="12">
        <f t="shared" si="119"/>
        <v>6.36</v>
      </c>
    </row>
    <row r="1910" spans="1:6" x14ac:dyDescent="0.25">
      <c r="A1910" s="1">
        <v>39380</v>
      </c>
      <c r="B1910">
        <v>6.33</v>
      </c>
      <c r="C1910" s="11">
        <f t="shared" si="116"/>
        <v>6.3299999999999995E-2</v>
      </c>
      <c r="D1910">
        <f t="shared" si="117"/>
        <v>2007</v>
      </c>
      <c r="E1910" t="str">
        <f t="shared" si="118"/>
        <v>Oct-2007</v>
      </c>
      <c r="F1910" s="12">
        <f t="shared" si="119"/>
        <v>6.36</v>
      </c>
    </row>
    <row r="1911" spans="1:6" x14ac:dyDescent="0.25">
      <c r="A1911" s="1">
        <v>39387</v>
      </c>
      <c r="B1911">
        <v>6.26</v>
      </c>
      <c r="C1911" s="11">
        <f t="shared" si="116"/>
        <v>6.2600000000000003E-2</v>
      </c>
      <c r="D1911">
        <f t="shared" si="117"/>
        <v>2007</v>
      </c>
      <c r="E1911" t="str">
        <f t="shared" si="118"/>
        <v>Nov-2007</v>
      </c>
      <c r="F1911" s="12">
        <f t="shared" si="119"/>
        <v>6.36</v>
      </c>
    </row>
    <row r="1912" spans="1:6" x14ac:dyDescent="0.25">
      <c r="A1912" s="1">
        <v>39394</v>
      </c>
      <c r="B1912">
        <v>6.24</v>
      </c>
      <c r="C1912" s="11">
        <f t="shared" si="116"/>
        <v>6.2400000000000004E-2</v>
      </c>
      <c r="D1912">
        <f t="shared" si="117"/>
        <v>2007</v>
      </c>
      <c r="E1912" t="str">
        <f t="shared" si="118"/>
        <v>Nov-2007</v>
      </c>
      <c r="F1912" s="12">
        <f t="shared" si="119"/>
        <v>6.36</v>
      </c>
    </row>
    <row r="1913" spans="1:6" x14ac:dyDescent="0.25">
      <c r="A1913" s="1">
        <v>39401</v>
      </c>
      <c r="B1913">
        <v>6.24</v>
      </c>
      <c r="C1913" s="11">
        <f t="shared" si="116"/>
        <v>6.2400000000000004E-2</v>
      </c>
      <c r="D1913">
        <f t="shared" si="117"/>
        <v>2007</v>
      </c>
      <c r="E1913" t="str">
        <f t="shared" si="118"/>
        <v>Nov-2007</v>
      </c>
      <c r="F1913" s="12">
        <f t="shared" si="119"/>
        <v>6.36</v>
      </c>
    </row>
    <row r="1914" spans="1:6" x14ac:dyDescent="0.25">
      <c r="A1914" s="1">
        <v>39407</v>
      </c>
      <c r="B1914">
        <v>6.2</v>
      </c>
      <c r="C1914" s="11">
        <f t="shared" si="116"/>
        <v>6.2E-2</v>
      </c>
      <c r="D1914">
        <f t="shared" si="117"/>
        <v>2007</v>
      </c>
      <c r="E1914" t="str">
        <f t="shared" si="118"/>
        <v>Nov-2007</v>
      </c>
      <c r="F1914" s="12">
        <f t="shared" si="119"/>
        <v>6.36</v>
      </c>
    </row>
    <row r="1915" spans="1:6" x14ac:dyDescent="0.25">
      <c r="A1915" s="1">
        <v>39415</v>
      </c>
      <c r="B1915">
        <v>6.1</v>
      </c>
      <c r="C1915" s="11">
        <f t="shared" si="116"/>
        <v>6.0999999999999999E-2</v>
      </c>
      <c r="D1915">
        <f t="shared" si="117"/>
        <v>2007</v>
      </c>
      <c r="E1915" t="str">
        <f t="shared" si="118"/>
        <v>Nov-2007</v>
      </c>
      <c r="F1915" s="12">
        <f t="shared" si="119"/>
        <v>6.36</v>
      </c>
    </row>
    <row r="1916" spans="1:6" x14ac:dyDescent="0.25">
      <c r="A1916" s="1">
        <v>39422</v>
      </c>
      <c r="B1916">
        <v>5.96</v>
      </c>
      <c r="C1916" s="11">
        <f t="shared" si="116"/>
        <v>5.96E-2</v>
      </c>
      <c r="D1916">
        <f t="shared" si="117"/>
        <v>2007</v>
      </c>
      <c r="E1916" t="str">
        <f t="shared" si="118"/>
        <v>Dec-2007</v>
      </c>
      <c r="F1916" s="12">
        <f t="shared" si="119"/>
        <v>6.36</v>
      </c>
    </row>
    <row r="1917" spans="1:6" x14ac:dyDescent="0.25">
      <c r="A1917" s="1">
        <v>39429</v>
      </c>
      <c r="B1917">
        <v>6.11</v>
      </c>
      <c r="C1917" s="11">
        <f t="shared" si="116"/>
        <v>6.1100000000000002E-2</v>
      </c>
      <c r="D1917">
        <f t="shared" si="117"/>
        <v>2007</v>
      </c>
      <c r="E1917" t="str">
        <f t="shared" si="118"/>
        <v>Dec-2007</v>
      </c>
      <c r="F1917" s="12">
        <f t="shared" si="119"/>
        <v>6.36</v>
      </c>
    </row>
    <row r="1918" spans="1:6" x14ac:dyDescent="0.25">
      <c r="A1918" s="1">
        <v>39436</v>
      </c>
      <c r="B1918">
        <v>6.14</v>
      </c>
      <c r="C1918" s="11">
        <f t="shared" si="116"/>
        <v>6.1399999999999996E-2</v>
      </c>
      <c r="D1918">
        <f t="shared" si="117"/>
        <v>2007</v>
      </c>
      <c r="E1918" t="str">
        <f t="shared" si="118"/>
        <v>Dec-2007</v>
      </c>
      <c r="F1918" s="12">
        <f t="shared" si="119"/>
        <v>6.36</v>
      </c>
    </row>
    <row r="1919" spans="1:6" x14ac:dyDescent="0.25">
      <c r="A1919" s="1">
        <v>39443</v>
      </c>
      <c r="B1919">
        <v>6.17</v>
      </c>
      <c r="C1919" s="11">
        <f t="shared" si="116"/>
        <v>6.1699999999999998E-2</v>
      </c>
      <c r="D1919">
        <f t="shared" si="117"/>
        <v>2007</v>
      </c>
      <c r="E1919" t="str">
        <f t="shared" si="118"/>
        <v>Dec-2007</v>
      </c>
      <c r="F1919" s="12">
        <f t="shared" si="119"/>
        <v>6.36</v>
      </c>
    </row>
    <row r="1920" spans="1:6" x14ac:dyDescent="0.25">
      <c r="A1920" s="1">
        <v>39450</v>
      </c>
      <c r="B1920">
        <v>6.07</v>
      </c>
      <c r="C1920" s="11">
        <f t="shared" si="116"/>
        <v>6.0700000000000004E-2</v>
      </c>
      <c r="D1920">
        <f t="shared" si="117"/>
        <v>2008</v>
      </c>
      <c r="E1920" t="str">
        <f t="shared" si="118"/>
        <v>Jan-2008</v>
      </c>
      <c r="F1920" s="12">
        <f t="shared" si="119"/>
        <v>6.36</v>
      </c>
    </row>
    <row r="1921" spans="1:6" x14ac:dyDescent="0.25">
      <c r="A1921" s="1">
        <v>39457</v>
      </c>
      <c r="B1921">
        <v>5.87</v>
      </c>
      <c r="C1921" s="11">
        <f t="shared" si="116"/>
        <v>5.8700000000000002E-2</v>
      </c>
      <c r="D1921">
        <f t="shared" si="117"/>
        <v>2008</v>
      </c>
      <c r="E1921" t="str">
        <f t="shared" si="118"/>
        <v>Jan-2008</v>
      </c>
      <c r="F1921" s="12">
        <f t="shared" si="119"/>
        <v>6.36</v>
      </c>
    </row>
    <row r="1922" spans="1:6" x14ac:dyDescent="0.25">
      <c r="A1922" s="1">
        <v>39464</v>
      </c>
      <c r="B1922">
        <v>5.69</v>
      </c>
      <c r="C1922" s="11">
        <f t="shared" ref="C1922:C1985" si="120">B1922/100</f>
        <v>5.6900000000000006E-2</v>
      </c>
      <c r="D1922">
        <f t="shared" ref="D1922:D1985" si="121">YEAR(A1922)</f>
        <v>2008</v>
      </c>
      <c r="E1922" t="str">
        <f t="shared" ref="E1922:E1985" si="122">TEXT(A1922,"MMM-YYYY")</f>
        <v>Jan-2008</v>
      </c>
      <c r="F1922" s="12">
        <f t="shared" ref="F1922:F1985" si="123">$H$2</f>
        <v>6.36</v>
      </c>
    </row>
    <row r="1923" spans="1:6" x14ac:dyDescent="0.25">
      <c r="A1923" s="1">
        <v>39471</v>
      </c>
      <c r="B1923">
        <v>5.48</v>
      </c>
      <c r="C1923" s="11">
        <f t="shared" si="120"/>
        <v>5.4800000000000001E-2</v>
      </c>
      <c r="D1923">
        <f t="shared" si="121"/>
        <v>2008</v>
      </c>
      <c r="E1923" t="str">
        <f t="shared" si="122"/>
        <v>Jan-2008</v>
      </c>
      <c r="F1923" s="12">
        <f t="shared" si="123"/>
        <v>6.36</v>
      </c>
    </row>
    <row r="1924" spans="1:6" x14ac:dyDescent="0.25">
      <c r="A1924" s="1">
        <v>39478</v>
      </c>
      <c r="B1924">
        <v>5.68</v>
      </c>
      <c r="C1924" s="11">
        <f t="shared" si="120"/>
        <v>5.6799999999999996E-2</v>
      </c>
      <c r="D1924">
        <f t="shared" si="121"/>
        <v>2008</v>
      </c>
      <c r="E1924" t="str">
        <f t="shared" si="122"/>
        <v>Jan-2008</v>
      </c>
      <c r="F1924" s="12">
        <f t="shared" si="123"/>
        <v>6.36</v>
      </c>
    </row>
    <row r="1925" spans="1:6" x14ac:dyDescent="0.25">
      <c r="A1925" s="1">
        <v>39485</v>
      </c>
      <c r="B1925">
        <v>5.67</v>
      </c>
      <c r="C1925" s="11">
        <f t="shared" si="120"/>
        <v>5.67E-2</v>
      </c>
      <c r="D1925">
        <f t="shared" si="121"/>
        <v>2008</v>
      </c>
      <c r="E1925" t="str">
        <f t="shared" si="122"/>
        <v>Feb-2008</v>
      </c>
      <c r="F1925" s="12">
        <f t="shared" si="123"/>
        <v>6.36</v>
      </c>
    </row>
    <row r="1926" spans="1:6" x14ac:dyDescent="0.25">
      <c r="A1926" s="1">
        <v>39492</v>
      </c>
      <c r="B1926">
        <v>5.72</v>
      </c>
      <c r="C1926" s="11">
        <f t="shared" si="120"/>
        <v>5.7200000000000001E-2</v>
      </c>
      <c r="D1926">
        <f t="shared" si="121"/>
        <v>2008</v>
      </c>
      <c r="E1926" t="str">
        <f t="shared" si="122"/>
        <v>Feb-2008</v>
      </c>
      <c r="F1926" s="12">
        <f t="shared" si="123"/>
        <v>6.36</v>
      </c>
    </row>
    <row r="1927" spans="1:6" x14ac:dyDescent="0.25">
      <c r="A1927" s="1">
        <v>39499</v>
      </c>
      <c r="B1927">
        <v>6.04</v>
      </c>
      <c r="C1927" s="11">
        <f t="shared" si="120"/>
        <v>6.0400000000000002E-2</v>
      </c>
      <c r="D1927">
        <f t="shared" si="121"/>
        <v>2008</v>
      </c>
      <c r="E1927" t="str">
        <f t="shared" si="122"/>
        <v>Feb-2008</v>
      </c>
      <c r="F1927" s="12">
        <f t="shared" si="123"/>
        <v>6.36</v>
      </c>
    </row>
    <row r="1928" spans="1:6" x14ac:dyDescent="0.25">
      <c r="A1928" s="1">
        <v>39506</v>
      </c>
      <c r="B1928">
        <v>6.24</v>
      </c>
      <c r="C1928" s="11">
        <f t="shared" si="120"/>
        <v>6.2400000000000004E-2</v>
      </c>
      <c r="D1928">
        <f t="shared" si="121"/>
        <v>2008</v>
      </c>
      <c r="E1928" t="str">
        <f t="shared" si="122"/>
        <v>Feb-2008</v>
      </c>
      <c r="F1928" s="12">
        <f t="shared" si="123"/>
        <v>6.36</v>
      </c>
    </row>
    <row r="1929" spans="1:6" x14ac:dyDescent="0.25">
      <c r="A1929" s="1">
        <v>39513</v>
      </c>
      <c r="B1929">
        <v>6.03</v>
      </c>
      <c r="C1929" s="11">
        <f t="shared" si="120"/>
        <v>6.0299999999999999E-2</v>
      </c>
      <c r="D1929">
        <f t="shared" si="121"/>
        <v>2008</v>
      </c>
      <c r="E1929" t="str">
        <f t="shared" si="122"/>
        <v>Mar-2008</v>
      </c>
      <c r="F1929" s="12">
        <f t="shared" si="123"/>
        <v>6.36</v>
      </c>
    </row>
    <row r="1930" spans="1:6" x14ac:dyDescent="0.25">
      <c r="A1930" s="1">
        <v>39520</v>
      </c>
      <c r="B1930">
        <v>6.13</v>
      </c>
      <c r="C1930" s="11">
        <f t="shared" si="120"/>
        <v>6.13E-2</v>
      </c>
      <c r="D1930">
        <f t="shared" si="121"/>
        <v>2008</v>
      </c>
      <c r="E1930" t="str">
        <f t="shared" si="122"/>
        <v>Mar-2008</v>
      </c>
      <c r="F1930" s="12">
        <f t="shared" si="123"/>
        <v>6.36</v>
      </c>
    </row>
    <row r="1931" spans="1:6" x14ac:dyDescent="0.25">
      <c r="A1931" s="1">
        <v>39527</v>
      </c>
      <c r="B1931">
        <v>5.87</v>
      </c>
      <c r="C1931" s="11">
        <f t="shared" si="120"/>
        <v>5.8700000000000002E-2</v>
      </c>
      <c r="D1931">
        <f t="shared" si="121"/>
        <v>2008</v>
      </c>
      <c r="E1931" t="str">
        <f t="shared" si="122"/>
        <v>Mar-2008</v>
      </c>
      <c r="F1931" s="12">
        <f t="shared" si="123"/>
        <v>6.36</v>
      </c>
    </row>
    <row r="1932" spans="1:6" x14ac:dyDescent="0.25">
      <c r="A1932" s="1">
        <v>39534</v>
      </c>
      <c r="B1932">
        <v>5.85</v>
      </c>
      <c r="C1932" s="11">
        <f t="shared" si="120"/>
        <v>5.8499999999999996E-2</v>
      </c>
      <c r="D1932">
        <f t="shared" si="121"/>
        <v>2008</v>
      </c>
      <c r="E1932" t="str">
        <f t="shared" si="122"/>
        <v>Mar-2008</v>
      </c>
      <c r="F1932" s="12">
        <f t="shared" si="123"/>
        <v>6.36</v>
      </c>
    </row>
    <row r="1933" spans="1:6" x14ac:dyDescent="0.25">
      <c r="A1933" s="1">
        <v>39541</v>
      </c>
      <c r="B1933">
        <v>5.88</v>
      </c>
      <c r="C1933" s="11">
        <f t="shared" si="120"/>
        <v>5.8799999999999998E-2</v>
      </c>
      <c r="D1933">
        <f t="shared" si="121"/>
        <v>2008</v>
      </c>
      <c r="E1933" t="str">
        <f t="shared" si="122"/>
        <v>Apr-2008</v>
      </c>
      <c r="F1933" s="12">
        <f t="shared" si="123"/>
        <v>6.36</v>
      </c>
    </row>
    <row r="1934" spans="1:6" x14ac:dyDescent="0.25">
      <c r="A1934" s="1">
        <v>39548</v>
      </c>
      <c r="B1934">
        <v>5.88</v>
      </c>
      <c r="C1934" s="11">
        <f t="shared" si="120"/>
        <v>5.8799999999999998E-2</v>
      </c>
      <c r="D1934">
        <f t="shared" si="121"/>
        <v>2008</v>
      </c>
      <c r="E1934" t="str">
        <f t="shared" si="122"/>
        <v>Apr-2008</v>
      </c>
      <c r="F1934" s="12">
        <f t="shared" si="123"/>
        <v>6.36</v>
      </c>
    </row>
    <row r="1935" spans="1:6" x14ac:dyDescent="0.25">
      <c r="A1935" s="1">
        <v>39555</v>
      </c>
      <c r="B1935">
        <v>5.88</v>
      </c>
      <c r="C1935" s="11">
        <f t="shared" si="120"/>
        <v>5.8799999999999998E-2</v>
      </c>
      <c r="D1935">
        <f t="shared" si="121"/>
        <v>2008</v>
      </c>
      <c r="E1935" t="str">
        <f t="shared" si="122"/>
        <v>Apr-2008</v>
      </c>
      <c r="F1935" s="12">
        <f t="shared" si="123"/>
        <v>6.36</v>
      </c>
    </row>
    <row r="1936" spans="1:6" x14ac:dyDescent="0.25">
      <c r="A1936" s="1">
        <v>39562</v>
      </c>
      <c r="B1936">
        <v>6.03</v>
      </c>
      <c r="C1936" s="11">
        <f t="shared" si="120"/>
        <v>6.0299999999999999E-2</v>
      </c>
      <c r="D1936">
        <f t="shared" si="121"/>
        <v>2008</v>
      </c>
      <c r="E1936" t="str">
        <f t="shared" si="122"/>
        <v>Apr-2008</v>
      </c>
      <c r="F1936" s="12">
        <f t="shared" si="123"/>
        <v>6.36</v>
      </c>
    </row>
    <row r="1937" spans="1:6" x14ac:dyDescent="0.25">
      <c r="A1937" s="1">
        <v>39569</v>
      </c>
      <c r="B1937">
        <v>6.06</v>
      </c>
      <c r="C1937" s="11">
        <f t="shared" si="120"/>
        <v>6.0599999999999994E-2</v>
      </c>
      <c r="D1937">
        <f t="shared" si="121"/>
        <v>2008</v>
      </c>
      <c r="E1937" t="str">
        <f t="shared" si="122"/>
        <v>May-2008</v>
      </c>
      <c r="F1937" s="12">
        <f t="shared" si="123"/>
        <v>6.36</v>
      </c>
    </row>
    <row r="1938" spans="1:6" x14ac:dyDescent="0.25">
      <c r="A1938" s="1">
        <v>39576</v>
      </c>
      <c r="B1938">
        <v>6.05</v>
      </c>
      <c r="C1938" s="11">
        <f t="shared" si="120"/>
        <v>6.0499999999999998E-2</v>
      </c>
      <c r="D1938">
        <f t="shared" si="121"/>
        <v>2008</v>
      </c>
      <c r="E1938" t="str">
        <f t="shared" si="122"/>
        <v>May-2008</v>
      </c>
      <c r="F1938" s="12">
        <f t="shared" si="123"/>
        <v>6.36</v>
      </c>
    </row>
    <row r="1939" spans="1:6" x14ac:dyDescent="0.25">
      <c r="A1939" s="1">
        <v>39583</v>
      </c>
      <c r="B1939">
        <v>6.01</v>
      </c>
      <c r="C1939" s="11">
        <f t="shared" si="120"/>
        <v>6.0100000000000001E-2</v>
      </c>
      <c r="D1939">
        <f t="shared" si="121"/>
        <v>2008</v>
      </c>
      <c r="E1939" t="str">
        <f t="shared" si="122"/>
        <v>May-2008</v>
      </c>
      <c r="F1939" s="12">
        <f t="shared" si="123"/>
        <v>6.36</v>
      </c>
    </row>
    <row r="1940" spans="1:6" x14ac:dyDescent="0.25">
      <c r="A1940" s="1">
        <v>39590</v>
      </c>
      <c r="B1940">
        <v>5.98</v>
      </c>
      <c r="C1940" s="11">
        <f t="shared" si="120"/>
        <v>5.9800000000000006E-2</v>
      </c>
      <c r="D1940">
        <f t="shared" si="121"/>
        <v>2008</v>
      </c>
      <c r="E1940" t="str">
        <f t="shared" si="122"/>
        <v>May-2008</v>
      </c>
      <c r="F1940" s="12">
        <f t="shared" si="123"/>
        <v>6.36</v>
      </c>
    </row>
    <row r="1941" spans="1:6" x14ac:dyDescent="0.25">
      <c r="A1941" s="1">
        <v>39597</v>
      </c>
      <c r="B1941">
        <v>6.08</v>
      </c>
      <c r="C1941" s="11">
        <f t="shared" si="120"/>
        <v>6.08E-2</v>
      </c>
      <c r="D1941">
        <f t="shared" si="121"/>
        <v>2008</v>
      </c>
      <c r="E1941" t="str">
        <f t="shared" si="122"/>
        <v>May-2008</v>
      </c>
      <c r="F1941" s="12">
        <f t="shared" si="123"/>
        <v>6.36</v>
      </c>
    </row>
    <row r="1942" spans="1:6" x14ac:dyDescent="0.25">
      <c r="A1942" s="1">
        <v>39604</v>
      </c>
      <c r="B1942">
        <v>6.09</v>
      </c>
      <c r="C1942" s="11">
        <f t="shared" si="120"/>
        <v>6.0899999999999996E-2</v>
      </c>
      <c r="D1942">
        <f t="shared" si="121"/>
        <v>2008</v>
      </c>
      <c r="E1942" t="str">
        <f t="shared" si="122"/>
        <v>Jun-2008</v>
      </c>
      <c r="F1942" s="12">
        <f t="shared" si="123"/>
        <v>6.36</v>
      </c>
    </row>
    <row r="1943" spans="1:6" x14ac:dyDescent="0.25">
      <c r="A1943" s="1">
        <v>39611</v>
      </c>
      <c r="B1943">
        <v>6.32</v>
      </c>
      <c r="C1943" s="11">
        <f t="shared" si="120"/>
        <v>6.3200000000000006E-2</v>
      </c>
      <c r="D1943">
        <f t="shared" si="121"/>
        <v>2008</v>
      </c>
      <c r="E1943" t="str">
        <f t="shared" si="122"/>
        <v>Jun-2008</v>
      </c>
      <c r="F1943" s="12">
        <f t="shared" si="123"/>
        <v>6.36</v>
      </c>
    </row>
    <row r="1944" spans="1:6" x14ac:dyDescent="0.25">
      <c r="A1944" s="1">
        <v>39618</v>
      </c>
      <c r="B1944">
        <v>6.42</v>
      </c>
      <c r="C1944" s="11">
        <f t="shared" si="120"/>
        <v>6.4199999999999993E-2</v>
      </c>
      <c r="D1944">
        <f t="shared" si="121"/>
        <v>2008</v>
      </c>
      <c r="E1944" t="str">
        <f t="shared" si="122"/>
        <v>Jun-2008</v>
      </c>
      <c r="F1944" s="12">
        <f t="shared" si="123"/>
        <v>6.36</v>
      </c>
    </row>
    <row r="1945" spans="1:6" x14ac:dyDescent="0.25">
      <c r="A1945" s="1">
        <v>39625</v>
      </c>
      <c r="B1945">
        <v>6.45</v>
      </c>
      <c r="C1945" s="11">
        <f t="shared" si="120"/>
        <v>6.4500000000000002E-2</v>
      </c>
      <c r="D1945">
        <f t="shared" si="121"/>
        <v>2008</v>
      </c>
      <c r="E1945" t="str">
        <f t="shared" si="122"/>
        <v>Jun-2008</v>
      </c>
      <c r="F1945" s="12">
        <f t="shared" si="123"/>
        <v>6.36</v>
      </c>
    </row>
    <row r="1946" spans="1:6" x14ac:dyDescent="0.25">
      <c r="A1946" s="1">
        <v>39632</v>
      </c>
      <c r="B1946">
        <v>6.35</v>
      </c>
      <c r="C1946" s="11">
        <f t="shared" si="120"/>
        <v>6.3500000000000001E-2</v>
      </c>
      <c r="D1946">
        <f t="shared" si="121"/>
        <v>2008</v>
      </c>
      <c r="E1946" t="str">
        <f t="shared" si="122"/>
        <v>Jul-2008</v>
      </c>
      <c r="F1946" s="12">
        <f t="shared" si="123"/>
        <v>6.36</v>
      </c>
    </row>
    <row r="1947" spans="1:6" x14ac:dyDescent="0.25">
      <c r="A1947" s="1">
        <v>39639</v>
      </c>
      <c r="B1947">
        <v>6.37</v>
      </c>
      <c r="C1947" s="11">
        <f t="shared" si="120"/>
        <v>6.3700000000000007E-2</v>
      </c>
      <c r="D1947">
        <f t="shared" si="121"/>
        <v>2008</v>
      </c>
      <c r="E1947" t="str">
        <f t="shared" si="122"/>
        <v>Jul-2008</v>
      </c>
      <c r="F1947" s="12">
        <f t="shared" si="123"/>
        <v>6.36</v>
      </c>
    </row>
    <row r="1948" spans="1:6" x14ac:dyDescent="0.25">
      <c r="A1948" s="1">
        <v>39646</v>
      </c>
      <c r="B1948">
        <v>6.26</v>
      </c>
      <c r="C1948" s="11">
        <f t="shared" si="120"/>
        <v>6.2600000000000003E-2</v>
      </c>
      <c r="D1948">
        <f t="shared" si="121"/>
        <v>2008</v>
      </c>
      <c r="E1948" t="str">
        <f t="shared" si="122"/>
        <v>Jul-2008</v>
      </c>
      <c r="F1948" s="12">
        <f t="shared" si="123"/>
        <v>6.36</v>
      </c>
    </row>
    <row r="1949" spans="1:6" x14ac:dyDescent="0.25">
      <c r="A1949" s="1">
        <v>39653</v>
      </c>
      <c r="B1949">
        <v>6.63</v>
      </c>
      <c r="C1949" s="11">
        <f t="shared" si="120"/>
        <v>6.6299999999999998E-2</v>
      </c>
      <c r="D1949">
        <f t="shared" si="121"/>
        <v>2008</v>
      </c>
      <c r="E1949" t="str">
        <f t="shared" si="122"/>
        <v>Jul-2008</v>
      </c>
      <c r="F1949" s="12">
        <f t="shared" si="123"/>
        <v>6.36</v>
      </c>
    </row>
    <row r="1950" spans="1:6" x14ac:dyDescent="0.25">
      <c r="A1950" s="1">
        <v>39660</v>
      </c>
      <c r="B1950">
        <v>6.52</v>
      </c>
      <c r="C1950" s="11">
        <f t="shared" si="120"/>
        <v>6.5199999999999994E-2</v>
      </c>
      <c r="D1950">
        <f t="shared" si="121"/>
        <v>2008</v>
      </c>
      <c r="E1950" t="str">
        <f t="shared" si="122"/>
        <v>Jul-2008</v>
      </c>
      <c r="F1950" s="12">
        <f t="shared" si="123"/>
        <v>6.36</v>
      </c>
    </row>
    <row r="1951" spans="1:6" x14ac:dyDescent="0.25">
      <c r="A1951" s="1">
        <v>39667</v>
      </c>
      <c r="B1951">
        <v>6.52</v>
      </c>
      <c r="C1951" s="11">
        <f t="shared" si="120"/>
        <v>6.5199999999999994E-2</v>
      </c>
      <c r="D1951">
        <f t="shared" si="121"/>
        <v>2008</v>
      </c>
      <c r="E1951" t="str">
        <f t="shared" si="122"/>
        <v>Aug-2008</v>
      </c>
      <c r="F1951" s="12">
        <f t="shared" si="123"/>
        <v>6.36</v>
      </c>
    </row>
    <row r="1952" spans="1:6" x14ac:dyDescent="0.25">
      <c r="A1952" s="1">
        <v>39674</v>
      </c>
      <c r="B1952">
        <v>6.52</v>
      </c>
      <c r="C1952" s="11">
        <f t="shared" si="120"/>
        <v>6.5199999999999994E-2</v>
      </c>
      <c r="D1952">
        <f t="shared" si="121"/>
        <v>2008</v>
      </c>
      <c r="E1952" t="str">
        <f t="shared" si="122"/>
        <v>Aug-2008</v>
      </c>
      <c r="F1952" s="12">
        <f t="shared" si="123"/>
        <v>6.36</v>
      </c>
    </row>
    <row r="1953" spans="1:6" x14ac:dyDescent="0.25">
      <c r="A1953" s="1">
        <v>39681</v>
      </c>
      <c r="B1953">
        <v>6.47</v>
      </c>
      <c r="C1953" s="11">
        <f t="shared" si="120"/>
        <v>6.4699999999999994E-2</v>
      </c>
      <c r="D1953">
        <f t="shared" si="121"/>
        <v>2008</v>
      </c>
      <c r="E1953" t="str">
        <f t="shared" si="122"/>
        <v>Aug-2008</v>
      </c>
      <c r="F1953" s="12">
        <f t="shared" si="123"/>
        <v>6.36</v>
      </c>
    </row>
    <row r="1954" spans="1:6" x14ac:dyDescent="0.25">
      <c r="A1954" s="1">
        <v>39688</v>
      </c>
      <c r="B1954">
        <v>6.4</v>
      </c>
      <c r="C1954" s="11">
        <f t="shared" si="120"/>
        <v>6.4000000000000001E-2</v>
      </c>
      <c r="D1954">
        <f t="shared" si="121"/>
        <v>2008</v>
      </c>
      <c r="E1954" t="str">
        <f t="shared" si="122"/>
        <v>Aug-2008</v>
      </c>
      <c r="F1954" s="12">
        <f t="shared" si="123"/>
        <v>6.36</v>
      </c>
    </row>
    <row r="1955" spans="1:6" x14ac:dyDescent="0.25">
      <c r="A1955" s="1">
        <v>39695</v>
      </c>
      <c r="B1955">
        <v>6.35</v>
      </c>
      <c r="C1955" s="11">
        <f t="shared" si="120"/>
        <v>6.3500000000000001E-2</v>
      </c>
      <c r="D1955">
        <f t="shared" si="121"/>
        <v>2008</v>
      </c>
      <c r="E1955" t="str">
        <f t="shared" si="122"/>
        <v>Sep-2008</v>
      </c>
      <c r="F1955" s="12">
        <f t="shared" si="123"/>
        <v>6.36</v>
      </c>
    </row>
    <row r="1956" spans="1:6" x14ac:dyDescent="0.25">
      <c r="A1956" s="1">
        <v>39702</v>
      </c>
      <c r="B1956">
        <v>5.93</v>
      </c>
      <c r="C1956" s="11">
        <f t="shared" si="120"/>
        <v>5.9299999999999999E-2</v>
      </c>
      <c r="D1956">
        <f t="shared" si="121"/>
        <v>2008</v>
      </c>
      <c r="E1956" t="str">
        <f t="shared" si="122"/>
        <v>Sep-2008</v>
      </c>
      <c r="F1956" s="12">
        <f t="shared" si="123"/>
        <v>6.36</v>
      </c>
    </row>
    <row r="1957" spans="1:6" x14ac:dyDescent="0.25">
      <c r="A1957" s="1">
        <v>39709</v>
      </c>
      <c r="B1957">
        <v>5.78</v>
      </c>
      <c r="C1957" s="11">
        <f t="shared" si="120"/>
        <v>5.7800000000000004E-2</v>
      </c>
      <c r="D1957">
        <f t="shared" si="121"/>
        <v>2008</v>
      </c>
      <c r="E1957" t="str">
        <f t="shared" si="122"/>
        <v>Sep-2008</v>
      </c>
      <c r="F1957" s="12">
        <f t="shared" si="123"/>
        <v>6.36</v>
      </c>
    </row>
    <row r="1958" spans="1:6" x14ac:dyDescent="0.25">
      <c r="A1958" s="1">
        <v>39716</v>
      </c>
      <c r="B1958">
        <v>6.09</v>
      </c>
      <c r="C1958" s="11">
        <f t="shared" si="120"/>
        <v>6.0899999999999996E-2</v>
      </c>
      <c r="D1958">
        <f t="shared" si="121"/>
        <v>2008</v>
      </c>
      <c r="E1958" t="str">
        <f t="shared" si="122"/>
        <v>Sep-2008</v>
      </c>
      <c r="F1958" s="12">
        <f t="shared" si="123"/>
        <v>6.36</v>
      </c>
    </row>
    <row r="1959" spans="1:6" x14ac:dyDescent="0.25">
      <c r="A1959" s="1">
        <v>39723</v>
      </c>
      <c r="B1959">
        <v>6.1</v>
      </c>
      <c r="C1959" s="11">
        <f t="shared" si="120"/>
        <v>6.0999999999999999E-2</v>
      </c>
      <c r="D1959">
        <f t="shared" si="121"/>
        <v>2008</v>
      </c>
      <c r="E1959" t="str">
        <f t="shared" si="122"/>
        <v>Oct-2008</v>
      </c>
      <c r="F1959" s="12">
        <f t="shared" si="123"/>
        <v>6.36</v>
      </c>
    </row>
    <row r="1960" spans="1:6" x14ac:dyDescent="0.25">
      <c r="A1960" s="1">
        <v>39730</v>
      </c>
      <c r="B1960">
        <v>5.94</v>
      </c>
      <c r="C1960" s="11">
        <f t="shared" si="120"/>
        <v>5.9400000000000001E-2</v>
      </c>
      <c r="D1960">
        <f t="shared" si="121"/>
        <v>2008</v>
      </c>
      <c r="E1960" t="str">
        <f t="shared" si="122"/>
        <v>Oct-2008</v>
      </c>
      <c r="F1960" s="12">
        <f t="shared" si="123"/>
        <v>6.36</v>
      </c>
    </row>
    <row r="1961" spans="1:6" x14ac:dyDescent="0.25">
      <c r="A1961" s="1">
        <v>39737</v>
      </c>
      <c r="B1961">
        <v>6.46</v>
      </c>
      <c r="C1961" s="11">
        <f t="shared" si="120"/>
        <v>6.4600000000000005E-2</v>
      </c>
      <c r="D1961">
        <f t="shared" si="121"/>
        <v>2008</v>
      </c>
      <c r="E1961" t="str">
        <f t="shared" si="122"/>
        <v>Oct-2008</v>
      </c>
      <c r="F1961" s="12">
        <f t="shared" si="123"/>
        <v>6.36</v>
      </c>
    </row>
    <row r="1962" spans="1:6" x14ac:dyDescent="0.25">
      <c r="A1962" s="1">
        <v>39744</v>
      </c>
      <c r="B1962">
        <v>6.04</v>
      </c>
      <c r="C1962" s="11">
        <f t="shared" si="120"/>
        <v>6.0400000000000002E-2</v>
      </c>
      <c r="D1962">
        <f t="shared" si="121"/>
        <v>2008</v>
      </c>
      <c r="E1962" t="str">
        <f t="shared" si="122"/>
        <v>Oct-2008</v>
      </c>
      <c r="F1962" s="12">
        <f t="shared" si="123"/>
        <v>6.36</v>
      </c>
    </row>
    <row r="1963" spans="1:6" x14ac:dyDescent="0.25">
      <c r="A1963" s="1">
        <v>39751</v>
      </c>
      <c r="B1963">
        <v>6.46</v>
      </c>
      <c r="C1963" s="11">
        <f t="shared" si="120"/>
        <v>6.4600000000000005E-2</v>
      </c>
      <c r="D1963">
        <f t="shared" si="121"/>
        <v>2008</v>
      </c>
      <c r="E1963" t="str">
        <f t="shared" si="122"/>
        <v>Oct-2008</v>
      </c>
      <c r="F1963" s="12">
        <f t="shared" si="123"/>
        <v>6.36</v>
      </c>
    </row>
    <row r="1964" spans="1:6" x14ac:dyDescent="0.25">
      <c r="A1964" s="1">
        <v>39758</v>
      </c>
      <c r="B1964">
        <v>6.2</v>
      </c>
      <c r="C1964" s="11">
        <f t="shared" si="120"/>
        <v>6.2E-2</v>
      </c>
      <c r="D1964">
        <f t="shared" si="121"/>
        <v>2008</v>
      </c>
      <c r="E1964" t="str">
        <f t="shared" si="122"/>
        <v>Nov-2008</v>
      </c>
      <c r="F1964" s="12">
        <f t="shared" si="123"/>
        <v>6.36</v>
      </c>
    </row>
    <row r="1965" spans="1:6" x14ac:dyDescent="0.25">
      <c r="A1965" s="1">
        <v>39765</v>
      </c>
      <c r="B1965">
        <v>6.14</v>
      </c>
      <c r="C1965" s="11">
        <f t="shared" si="120"/>
        <v>6.1399999999999996E-2</v>
      </c>
      <c r="D1965">
        <f t="shared" si="121"/>
        <v>2008</v>
      </c>
      <c r="E1965" t="str">
        <f t="shared" si="122"/>
        <v>Nov-2008</v>
      </c>
      <c r="F1965" s="12">
        <f t="shared" si="123"/>
        <v>6.36</v>
      </c>
    </row>
    <row r="1966" spans="1:6" x14ac:dyDescent="0.25">
      <c r="A1966" s="1">
        <v>39772</v>
      </c>
      <c r="B1966">
        <v>6.04</v>
      </c>
      <c r="C1966" s="11">
        <f t="shared" si="120"/>
        <v>6.0400000000000002E-2</v>
      </c>
      <c r="D1966">
        <f t="shared" si="121"/>
        <v>2008</v>
      </c>
      <c r="E1966" t="str">
        <f t="shared" si="122"/>
        <v>Nov-2008</v>
      </c>
      <c r="F1966" s="12">
        <f t="shared" si="123"/>
        <v>6.36</v>
      </c>
    </row>
    <row r="1967" spans="1:6" x14ac:dyDescent="0.25">
      <c r="A1967" s="1">
        <v>39778</v>
      </c>
      <c r="B1967">
        <v>5.97</v>
      </c>
      <c r="C1967" s="11">
        <f t="shared" si="120"/>
        <v>5.9699999999999996E-2</v>
      </c>
      <c r="D1967">
        <f t="shared" si="121"/>
        <v>2008</v>
      </c>
      <c r="E1967" t="str">
        <f t="shared" si="122"/>
        <v>Nov-2008</v>
      </c>
      <c r="F1967" s="12">
        <f t="shared" si="123"/>
        <v>6.36</v>
      </c>
    </row>
    <row r="1968" spans="1:6" x14ac:dyDescent="0.25">
      <c r="A1968" s="1">
        <v>39786</v>
      </c>
      <c r="B1968">
        <v>5.53</v>
      </c>
      <c r="C1968" s="11">
        <f t="shared" si="120"/>
        <v>5.5300000000000002E-2</v>
      </c>
      <c r="D1968">
        <f t="shared" si="121"/>
        <v>2008</v>
      </c>
      <c r="E1968" t="str">
        <f t="shared" si="122"/>
        <v>Dec-2008</v>
      </c>
      <c r="F1968" s="12">
        <f t="shared" si="123"/>
        <v>6.36</v>
      </c>
    </row>
    <row r="1969" spans="1:6" x14ac:dyDescent="0.25">
      <c r="A1969" s="1">
        <v>39793</v>
      </c>
      <c r="B1969">
        <v>5.47</v>
      </c>
      <c r="C1969" s="11">
        <f t="shared" si="120"/>
        <v>5.4699999999999999E-2</v>
      </c>
      <c r="D1969">
        <f t="shared" si="121"/>
        <v>2008</v>
      </c>
      <c r="E1969" t="str">
        <f t="shared" si="122"/>
        <v>Dec-2008</v>
      </c>
      <c r="F1969" s="12">
        <f t="shared" si="123"/>
        <v>6.36</v>
      </c>
    </row>
    <row r="1970" spans="1:6" x14ac:dyDescent="0.25">
      <c r="A1970" s="1">
        <v>39800</v>
      </c>
      <c r="B1970">
        <v>5.19</v>
      </c>
      <c r="C1970" s="11">
        <f t="shared" si="120"/>
        <v>5.1900000000000002E-2</v>
      </c>
      <c r="D1970">
        <f t="shared" si="121"/>
        <v>2008</v>
      </c>
      <c r="E1970" t="str">
        <f t="shared" si="122"/>
        <v>Dec-2008</v>
      </c>
      <c r="F1970" s="12">
        <f t="shared" si="123"/>
        <v>6.36</v>
      </c>
    </row>
    <row r="1971" spans="1:6" x14ac:dyDescent="0.25">
      <c r="A1971" s="1">
        <v>39806</v>
      </c>
      <c r="B1971">
        <v>5.14</v>
      </c>
      <c r="C1971" s="11">
        <f t="shared" si="120"/>
        <v>5.1399999999999994E-2</v>
      </c>
      <c r="D1971">
        <f t="shared" si="121"/>
        <v>2008</v>
      </c>
      <c r="E1971" t="str">
        <f t="shared" si="122"/>
        <v>Dec-2008</v>
      </c>
      <c r="F1971" s="12">
        <f t="shared" si="123"/>
        <v>6.36</v>
      </c>
    </row>
    <row r="1972" spans="1:6" x14ac:dyDescent="0.25">
      <c r="A1972" s="1">
        <v>39813</v>
      </c>
      <c r="B1972">
        <v>5.0999999999999996</v>
      </c>
      <c r="C1972" s="11">
        <f t="shared" si="120"/>
        <v>5.0999999999999997E-2</v>
      </c>
      <c r="D1972">
        <f t="shared" si="121"/>
        <v>2008</v>
      </c>
      <c r="E1972" t="str">
        <f t="shared" si="122"/>
        <v>Dec-2008</v>
      </c>
      <c r="F1972" s="12">
        <f t="shared" si="123"/>
        <v>6.36</v>
      </c>
    </row>
    <row r="1973" spans="1:6" x14ac:dyDescent="0.25">
      <c r="A1973" s="1">
        <v>39821</v>
      </c>
      <c r="B1973">
        <v>5.01</v>
      </c>
      <c r="C1973" s="11">
        <f t="shared" si="120"/>
        <v>5.0099999999999999E-2</v>
      </c>
      <c r="D1973">
        <f t="shared" si="121"/>
        <v>2009</v>
      </c>
      <c r="E1973" t="str">
        <f t="shared" si="122"/>
        <v>Jan-2009</v>
      </c>
      <c r="F1973" s="12">
        <f t="shared" si="123"/>
        <v>6.36</v>
      </c>
    </row>
    <row r="1974" spans="1:6" x14ac:dyDescent="0.25">
      <c r="A1974" s="1">
        <v>39828</v>
      </c>
      <c r="B1974">
        <v>4.96</v>
      </c>
      <c r="C1974" s="11">
        <f t="shared" si="120"/>
        <v>4.9599999999999998E-2</v>
      </c>
      <c r="D1974">
        <f t="shared" si="121"/>
        <v>2009</v>
      </c>
      <c r="E1974" t="str">
        <f t="shared" si="122"/>
        <v>Jan-2009</v>
      </c>
      <c r="F1974" s="12">
        <f t="shared" si="123"/>
        <v>6.36</v>
      </c>
    </row>
    <row r="1975" spans="1:6" x14ac:dyDescent="0.25">
      <c r="A1975" s="1">
        <v>39835</v>
      </c>
      <c r="B1975">
        <v>5.12</v>
      </c>
      <c r="C1975" s="11">
        <f t="shared" si="120"/>
        <v>5.1200000000000002E-2</v>
      </c>
      <c r="D1975">
        <f t="shared" si="121"/>
        <v>2009</v>
      </c>
      <c r="E1975" t="str">
        <f t="shared" si="122"/>
        <v>Jan-2009</v>
      </c>
      <c r="F1975" s="12">
        <f t="shared" si="123"/>
        <v>6.36</v>
      </c>
    </row>
    <row r="1976" spans="1:6" x14ac:dyDescent="0.25">
      <c r="A1976" s="1">
        <v>39842</v>
      </c>
      <c r="B1976">
        <v>5.0999999999999996</v>
      </c>
      <c r="C1976" s="11">
        <f t="shared" si="120"/>
        <v>5.0999999999999997E-2</v>
      </c>
      <c r="D1976">
        <f t="shared" si="121"/>
        <v>2009</v>
      </c>
      <c r="E1976" t="str">
        <f t="shared" si="122"/>
        <v>Jan-2009</v>
      </c>
      <c r="F1976" s="12">
        <f t="shared" si="123"/>
        <v>6.36</v>
      </c>
    </row>
    <row r="1977" spans="1:6" x14ac:dyDescent="0.25">
      <c r="A1977" s="1">
        <v>39849</v>
      </c>
      <c r="B1977">
        <v>5.25</v>
      </c>
      <c r="C1977" s="11">
        <f t="shared" si="120"/>
        <v>5.2499999999999998E-2</v>
      </c>
      <c r="D1977">
        <f t="shared" si="121"/>
        <v>2009</v>
      </c>
      <c r="E1977" t="str">
        <f t="shared" si="122"/>
        <v>Feb-2009</v>
      </c>
      <c r="F1977" s="12">
        <f t="shared" si="123"/>
        <v>6.36</v>
      </c>
    </row>
    <row r="1978" spans="1:6" x14ac:dyDescent="0.25">
      <c r="A1978" s="1">
        <v>39856</v>
      </c>
      <c r="B1978">
        <v>5.16</v>
      </c>
      <c r="C1978" s="11">
        <f t="shared" si="120"/>
        <v>5.16E-2</v>
      </c>
      <c r="D1978">
        <f t="shared" si="121"/>
        <v>2009</v>
      </c>
      <c r="E1978" t="str">
        <f t="shared" si="122"/>
        <v>Feb-2009</v>
      </c>
      <c r="F1978" s="12">
        <f t="shared" si="123"/>
        <v>6.36</v>
      </c>
    </row>
    <row r="1979" spans="1:6" x14ac:dyDescent="0.25">
      <c r="A1979" s="1">
        <v>39863</v>
      </c>
      <c r="B1979">
        <v>5.04</v>
      </c>
      <c r="C1979" s="11">
        <f t="shared" si="120"/>
        <v>5.04E-2</v>
      </c>
      <c r="D1979">
        <f t="shared" si="121"/>
        <v>2009</v>
      </c>
      <c r="E1979" t="str">
        <f t="shared" si="122"/>
        <v>Feb-2009</v>
      </c>
      <c r="F1979" s="12">
        <f t="shared" si="123"/>
        <v>6.36</v>
      </c>
    </row>
    <row r="1980" spans="1:6" x14ac:dyDescent="0.25">
      <c r="A1980" s="1">
        <v>39870</v>
      </c>
      <c r="B1980">
        <v>5.07</v>
      </c>
      <c r="C1980" s="11">
        <f t="shared" si="120"/>
        <v>5.0700000000000002E-2</v>
      </c>
      <c r="D1980">
        <f t="shared" si="121"/>
        <v>2009</v>
      </c>
      <c r="E1980" t="str">
        <f t="shared" si="122"/>
        <v>Feb-2009</v>
      </c>
      <c r="F1980" s="12">
        <f t="shared" si="123"/>
        <v>6.36</v>
      </c>
    </row>
    <row r="1981" spans="1:6" x14ac:dyDescent="0.25">
      <c r="A1981" s="1">
        <v>39877</v>
      </c>
      <c r="B1981">
        <v>5.15</v>
      </c>
      <c r="C1981" s="11">
        <f t="shared" si="120"/>
        <v>5.1500000000000004E-2</v>
      </c>
      <c r="D1981">
        <f t="shared" si="121"/>
        <v>2009</v>
      </c>
      <c r="E1981" t="str">
        <f t="shared" si="122"/>
        <v>Mar-2009</v>
      </c>
      <c r="F1981" s="12">
        <f t="shared" si="123"/>
        <v>6.36</v>
      </c>
    </row>
    <row r="1982" spans="1:6" x14ac:dyDescent="0.25">
      <c r="A1982" s="1">
        <v>39884</v>
      </c>
      <c r="B1982">
        <v>5.03</v>
      </c>
      <c r="C1982" s="11">
        <f t="shared" si="120"/>
        <v>5.0300000000000004E-2</v>
      </c>
      <c r="D1982">
        <f t="shared" si="121"/>
        <v>2009</v>
      </c>
      <c r="E1982" t="str">
        <f t="shared" si="122"/>
        <v>Mar-2009</v>
      </c>
      <c r="F1982" s="12">
        <f t="shared" si="123"/>
        <v>6.36</v>
      </c>
    </row>
    <row r="1983" spans="1:6" x14ac:dyDescent="0.25">
      <c r="A1983" s="1">
        <v>39891</v>
      </c>
      <c r="B1983">
        <v>4.9800000000000004</v>
      </c>
      <c r="C1983" s="11">
        <f t="shared" si="120"/>
        <v>4.9800000000000004E-2</v>
      </c>
      <c r="D1983">
        <f t="shared" si="121"/>
        <v>2009</v>
      </c>
      <c r="E1983" t="str">
        <f t="shared" si="122"/>
        <v>Mar-2009</v>
      </c>
      <c r="F1983" s="12">
        <f t="shared" si="123"/>
        <v>6.36</v>
      </c>
    </row>
    <row r="1984" spans="1:6" x14ac:dyDescent="0.25">
      <c r="A1984" s="1">
        <v>39898</v>
      </c>
      <c r="B1984">
        <v>4.8499999999999996</v>
      </c>
      <c r="C1984" s="11">
        <f t="shared" si="120"/>
        <v>4.8499999999999995E-2</v>
      </c>
      <c r="D1984">
        <f t="shared" si="121"/>
        <v>2009</v>
      </c>
      <c r="E1984" t="str">
        <f t="shared" si="122"/>
        <v>Mar-2009</v>
      </c>
      <c r="F1984" s="12">
        <f t="shared" si="123"/>
        <v>6.36</v>
      </c>
    </row>
    <row r="1985" spans="1:6" x14ac:dyDescent="0.25">
      <c r="A1985" s="1">
        <v>39905</v>
      </c>
      <c r="B1985">
        <v>4.78</v>
      </c>
      <c r="C1985" s="11">
        <f t="shared" si="120"/>
        <v>4.7800000000000002E-2</v>
      </c>
      <c r="D1985">
        <f t="shared" si="121"/>
        <v>2009</v>
      </c>
      <c r="E1985" t="str">
        <f t="shared" si="122"/>
        <v>Apr-2009</v>
      </c>
      <c r="F1985" s="12">
        <f t="shared" si="123"/>
        <v>6.36</v>
      </c>
    </row>
    <row r="1986" spans="1:6" x14ac:dyDescent="0.25">
      <c r="A1986" s="1">
        <v>39912</v>
      </c>
      <c r="B1986">
        <v>4.87</v>
      </c>
      <c r="C1986" s="11">
        <f t="shared" ref="C1986:C2049" si="124">B1986/100</f>
        <v>4.87E-2</v>
      </c>
      <c r="D1986">
        <f t="shared" ref="D1986:D2049" si="125">YEAR(A1986)</f>
        <v>2009</v>
      </c>
      <c r="E1986" t="str">
        <f t="shared" ref="E1986:E2049" si="126">TEXT(A1986,"MMM-YYYY")</f>
        <v>Apr-2009</v>
      </c>
      <c r="F1986" s="12">
        <f t="shared" ref="F1986:F2049" si="127">$H$2</f>
        <v>6.36</v>
      </c>
    </row>
    <row r="1987" spans="1:6" x14ac:dyDescent="0.25">
      <c r="A1987" s="1">
        <v>39919</v>
      </c>
      <c r="B1987">
        <v>4.82</v>
      </c>
      <c r="C1987" s="11">
        <f t="shared" si="124"/>
        <v>4.82E-2</v>
      </c>
      <c r="D1987">
        <f t="shared" si="125"/>
        <v>2009</v>
      </c>
      <c r="E1987" t="str">
        <f t="shared" si="126"/>
        <v>Apr-2009</v>
      </c>
      <c r="F1987" s="12">
        <f t="shared" si="127"/>
        <v>6.36</v>
      </c>
    </row>
    <row r="1988" spans="1:6" x14ac:dyDescent="0.25">
      <c r="A1988" s="1">
        <v>39926</v>
      </c>
      <c r="B1988">
        <v>4.8</v>
      </c>
      <c r="C1988" s="11">
        <f t="shared" si="124"/>
        <v>4.8000000000000001E-2</v>
      </c>
      <c r="D1988">
        <f t="shared" si="125"/>
        <v>2009</v>
      </c>
      <c r="E1988" t="str">
        <f t="shared" si="126"/>
        <v>Apr-2009</v>
      </c>
      <c r="F1988" s="12">
        <f t="shared" si="127"/>
        <v>6.36</v>
      </c>
    </row>
    <row r="1989" spans="1:6" x14ac:dyDescent="0.25">
      <c r="A1989" s="1">
        <v>39933</v>
      </c>
      <c r="B1989">
        <v>4.78</v>
      </c>
      <c r="C1989" s="11">
        <f t="shared" si="124"/>
        <v>4.7800000000000002E-2</v>
      </c>
      <c r="D1989">
        <f t="shared" si="125"/>
        <v>2009</v>
      </c>
      <c r="E1989" t="str">
        <f t="shared" si="126"/>
        <v>Apr-2009</v>
      </c>
      <c r="F1989" s="12">
        <f t="shared" si="127"/>
        <v>6.36</v>
      </c>
    </row>
    <row r="1990" spans="1:6" x14ac:dyDescent="0.25">
      <c r="A1990" s="1">
        <v>39940</v>
      </c>
      <c r="B1990">
        <v>4.84</v>
      </c>
      <c r="C1990" s="11">
        <f t="shared" si="124"/>
        <v>4.8399999999999999E-2</v>
      </c>
      <c r="D1990">
        <f t="shared" si="125"/>
        <v>2009</v>
      </c>
      <c r="E1990" t="str">
        <f t="shared" si="126"/>
        <v>May-2009</v>
      </c>
      <c r="F1990" s="12">
        <f t="shared" si="127"/>
        <v>6.36</v>
      </c>
    </row>
    <row r="1991" spans="1:6" x14ac:dyDescent="0.25">
      <c r="A1991" s="1">
        <v>39947</v>
      </c>
      <c r="B1991">
        <v>4.8600000000000003</v>
      </c>
      <c r="C1991" s="11">
        <f t="shared" si="124"/>
        <v>4.8600000000000004E-2</v>
      </c>
      <c r="D1991">
        <f t="shared" si="125"/>
        <v>2009</v>
      </c>
      <c r="E1991" t="str">
        <f t="shared" si="126"/>
        <v>May-2009</v>
      </c>
      <c r="F1991" s="12">
        <f t="shared" si="127"/>
        <v>6.36</v>
      </c>
    </row>
    <row r="1992" spans="1:6" x14ac:dyDescent="0.25">
      <c r="A1992" s="1">
        <v>39954</v>
      </c>
      <c r="B1992">
        <v>4.82</v>
      </c>
      <c r="C1992" s="11">
        <f t="shared" si="124"/>
        <v>4.82E-2</v>
      </c>
      <c r="D1992">
        <f t="shared" si="125"/>
        <v>2009</v>
      </c>
      <c r="E1992" t="str">
        <f t="shared" si="126"/>
        <v>May-2009</v>
      </c>
      <c r="F1992" s="12">
        <f t="shared" si="127"/>
        <v>6.36</v>
      </c>
    </row>
    <row r="1993" spans="1:6" x14ac:dyDescent="0.25">
      <c r="A1993" s="1">
        <v>39961</v>
      </c>
      <c r="B1993">
        <v>4.91</v>
      </c>
      <c r="C1993" s="11">
        <f t="shared" si="124"/>
        <v>4.9100000000000005E-2</v>
      </c>
      <c r="D1993">
        <f t="shared" si="125"/>
        <v>2009</v>
      </c>
      <c r="E1993" t="str">
        <f t="shared" si="126"/>
        <v>May-2009</v>
      </c>
      <c r="F1993" s="12">
        <f t="shared" si="127"/>
        <v>6.36</v>
      </c>
    </row>
    <row r="1994" spans="1:6" x14ac:dyDescent="0.25">
      <c r="A1994" s="1">
        <v>39968</v>
      </c>
      <c r="B1994">
        <v>5.29</v>
      </c>
      <c r="C1994" s="11">
        <f t="shared" si="124"/>
        <v>5.2900000000000003E-2</v>
      </c>
      <c r="D1994">
        <f t="shared" si="125"/>
        <v>2009</v>
      </c>
      <c r="E1994" t="str">
        <f t="shared" si="126"/>
        <v>Jun-2009</v>
      </c>
      <c r="F1994" s="12">
        <f t="shared" si="127"/>
        <v>6.36</v>
      </c>
    </row>
    <row r="1995" spans="1:6" x14ac:dyDescent="0.25">
      <c r="A1995" s="1">
        <v>39975</v>
      </c>
      <c r="B1995">
        <v>5.59</v>
      </c>
      <c r="C1995" s="11">
        <f t="shared" si="124"/>
        <v>5.5899999999999998E-2</v>
      </c>
      <c r="D1995">
        <f t="shared" si="125"/>
        <v>2009</v>
      </c>
      <c r="E1995" t="str">
        <f t="shared" si="126"/>
        <v>Jun-2009</v>
      </c>
      <c r="F1995" s="12">
        <f t="shared" si="127"/>
        <v>6.36</v>
      </c>
    </row>
    <row r="1996" spans="1:6" x14ac:dyDescent="0.25">
      <c r="A1996" s="1">
        <v>39982</v>
      </c>
      <c r="B1996">
        <v>5.38</v>
      </c>
      <c r="C1996" s="11">
        <f t="shared" si="124"/>
        <v>5.3800000000000001E-2</v>
      </c>
      <c r="D1996">
        <f t="shared" si="125"/>
        <v>2009</v>
      </c>
      <c r="E1996" t="str">
        <f t="shared" si="126"/>
        <v>Jun-2009</v>
      </c>
      <c r="F1996" s="12">
        <f t="shared" si="127"/>
        <v>6.36</v>
      </c>
    </row>
    <row r="1997" spans="1:6" x14ac:dyDescent="0.25">
      <c r="A1997" s="1">
        <v>39989</v>
      </c>
      <c r="B1997">
        <v>5.42</v>
      </c>
      <c r="C1997" s="11">
        <f t="shared" si="124"/>
        <v>5.4199999999999998E-2</v>
      </c>
      <c r="D1997">
        <f t="shared" si="125"/>
        <v>2009</v>
      </c>
      <c r="E1997" t="str">
        <f t="shared" si="126"/>
        <v>Jun-2009</v>
      </c>
      <c r="F1997" s="12">
        <f t="shared" si="127"/>
        <v>6.36</v>
      </c>
    </row>
    <row r="1998" spans="1:6" x14ac:dyDescent="0.25">
      <c r="A1998" s="1">
        <v>39996</v>
      </c>
      <c r="B1998">
        <v>5.32</v>
      </c>
      <c r="C1998" s="11">
        <f t="shared" si="124"/>
        <v>5.3200000000000004E-2</v>
      </c>
      <c r="D1998">
        <f t="shared" si="125"/>
        <v>2009</v>
      </c>
      <c r="E1998" t="str">
        <f t="shared" si="126"/>
        <v>Jul-2009</v>
      </c>
      <c r="F1998" s="12">
        <f t="shared" si="127"/>
        <v>6.36</v>
      </c>
    </row>
    <row r="1999" spans="1:6" x14ac:dyDescent="0.25">
      <c r="A1999" s="1">
        <v>40003</v>
      </c>
      <c r="B1999">
        <v>5.2</v>
      </c>
      <c r="C1999" s="11">
        <f t="shared" si="124"/>
        <v>5.2000000000000005E-2</v>
      </c>
      <c r="D1999">
        <f t="shared" si="125"/>
        <v>2009</v>
      </c>
      <c r="E1999" t="str">
        <f t="shared" si="126"/>
        <v>Jul-2009</v>
      </c>
      <c r="F1999" s="12">
        <f t="shared" si="127"/>
        <v>6.36</v>
      </c>
    </row>
    <row r="2000" spans="1:6" x14ac:dyDescent="0.25">
      <c r="A2000" s="1">
        <v>40010</v>
      </c>
      <c r="B2000">
        <v>5.14</v>
      </c>
      <c r="C2000" s="11">
        <f t="shared" si="124"/>
        <v>5.1399999999999994E-2</v>
      </c>
      <c r="D2000">
        <f t="shared" si="125"/>
        <v>2009</v>
      </c>
      <c r="E2000" t="str">
        <f t="shared" si="126"/>
        <v>Jul-2009</v>
      </c>
      <c r="F2000" s="12">
        <f t="shared" si="127"/>
        <v>6.36</v>
      </c>
    </row>
    <row r="2001" spans="1:6" x14ac:dyDescent="0.25">
      <c r="A2001" s="1">
        <v>40017</v>
      </c>
      <c r="B2001">
        <v>5.2</v>
      </c>
      <c r="C2001" s="11">
        <f t="shared" si="124"/>
        <v>5.2000000000000005E-2</v>
      </c>
      <c r="D2001">
        <f t="shared" si="125"/>
        <v>2009</v>
      </c>
      <c r="E2001" t="str">
        <f t="shared" si="126"/>
        <v>Jul-2009</v>
      </c>
      <c r="F2001" s="12">
        <f t="shared" si="127"/>
        <v>6.36</v>
      </c>
    </row>
    <row r="2002" spans="1:6" x14ac:dyDescent="0.25">
      <c r="A2002" s="1">
        <v>40024</v>
      </c>
      <c r="B2002">
        <v>5.25</v>
      </c>
      <c r="C2002" s="11">
        <f t="shared" si="124"/>
        <v>5.2499999999999998E-2</v>
      </c>
      <c r="D2002">
        <f t="shared" si="125"/>
        <v>2009</v>
      </c>
      <c r="E2002" t="str">
        <f t="shared" si="126"/>
        <v>Jul-2009</v>
      </c>
      <c r="F2002" s="12">
        <f t="shared" si="127"/>
        <v>6.36</v>
      </c>
    </row>
    <row r="2003" spans="1:6" x14ac:dyDescent="0.25">
      <c r="A2003" s="1">
        <v>40031</v>
      </c>
      <c r="B2003">
        <v>5.22</v>
      </c>
      <c r="C2003" s="11">
        <f t="shared" si="124"/>
        <v>5.2199999999999996E-2</v>
      </c>
      <c r="D2003">
        <f t="shared" si="125"/>
        <v>2009</v>
      </c>
      <c r="E2003" t="str">
        <f t="shared" si="126"/>
        <v>Aug-2009</v>
      </c>
      <c r="F2003" s="12">
        <f t="shared" si="127"/>
        <v>6.36</v>
      </c>
    </row>
    <row r="2004" spans="1:6" x14ac:dyDescent="0.25">
      <c r="A2004" s="1">
        <v>40038</v>
      </c>
      <c r="B2004">
        <v>5.29</v>
      </c>
      <c r="C2004" s="11">
        <f t="shared" si="124"/>
        <v>5.2900000000000003E-2</v>
      </c>
      <c r="D2004">
        <f t="shared" si="125"/>
        <v>2009</v>
      </c>
      <c r="E2004" t="str">
        <f t="shared" si="126"/>
        <v>Aug-2009</v>
      </c>
      <c r="F2004" s="12">
        <f t="shared" si="127"/>
        <v>6.36</v>
      </c>
    </row>
    <row r="2005" spans="1:6" x14ac:dyDescent="0.25">
      <c r="A2005" s="1">
        <v>40045</v>
      </c>
      <c r="B2005">
        <v>5.12</v>
      </c>
      <c r="C2005" s="11">
        <f t="shared" si="124"/>
        <v>5.1200000000000002E-2</v>
      </c>
      <c r="D2005">
        <f t="shared" si="125"/>
        <v>2009</v>
      </c>
      <c r="E2005" t="str">
        <f t="shared" si="126"/>
        <v>Aug-2009</v>
      </c>
      <c r="F2005" s="12">
        <f t="shared" si="127"/>
        <v>6.36</v>
      </c>
    </row>
    <row r="2006" spans="1:6" x14ac:dyDescent="0.25">
      <c r="A2006" s="1">
        <v>40052</v>
      </c>
      <c r="B2006">
        <v>5.14</v>
      </c>
      <c r="C2006" s="11">
        <f t="shared" si="124"/>
        <v>5.1399999999999994E-2</v>
      </c>
      <c r="D2006">
        <f t="shared" si="125"/>
        <v>2009</v>
      </c>
      <c r="E2006" t="str">
        <f t="shared" si="126"/>
        <v>Aug-2009</v>
      </c>
      <c r="F2006" s="12">
        <f t="shared" si="127"/>
        <v>6.36</v>
      </c>
    </row>
    <row r="2007" spans="1:6" x14ac:dyDescent="0.25">
      <c r="A2007" s="1">
        <v>40059</v>
      </c>
      <c r="B2007">
        <v>5.08</v>
      </c>
      <c r="C2007" s="11">
        <f t="shared" si="124"/>
        <v>5.0799999999999998E-2</v>
      </c>
      <c r="D2007">
        <f t="shared" si="125"/>
        <v>2009</v>
      </c>
      <c r="E2007" t="str">
        <f t="shared" si="126"/>
        <v>Sep-2009</v>
      </c>
      <c r="F2007" s="12">
        <f t="shared" si="127"/>
        <v>6.36</v>
      </c>
    </row>
    <row r="2008" spans="1:6" x14ac:dyDescent="0.25">
      <c r="A2008" s="1">
        <v>40066</v>
      </c>
      <c r="B2008">
        <v>5.07</v>
      </c>
      <c r="C2008" s="11">
        <f t="shared" si="124"/>
        <v>5.0700000000000002E-2</v>
      </c>
      <c r="D2008">
        <f t="shared" si="125"/>
        <v>2009</v>
      </c>
      <c r="E2008" t="str">
        <f t="shared" si="126"/>
        <v>Sep-2009</v>
      </c>
      <c r="F2008" s="12">
        <f t="shared" si="127"/>
        <v>6.36</v>
      </c>
    </row>
    <row r="2009" spans="1:6" x14ac:dyDescent="0.25">
      <c r="A2009" s="1">
        <v>40073</v>
      </c>
      <c r="B2009">
        <v>5.04</v>
      </c>
      <c r="C2009" s="11">
        <f t="shared" si="124"/>
        <v>5.04E-2</v>
      </c>
      <c r="D2009">
        <f t="shared" si="125"/>
        <v>2009</v>
      </c>
      <c r="E2009" t="str">
        <f t="shared" si="126"/>
        <v>Sep-2009</v>
      </c>
      <c r="F2009" s="12">
        <f t="shared" si="127"/>
        <v>6.36</v>
      </c>
    </row>
    <row r="2010" spans="1:6" x14ac:dyDescent="0.25">
      <c r="A2010" s="1">
        <v>40080</v>
      </c>
      <c r="B2010">
        <v>5.04</v>
      </c>
      <c r="C2010" s="11">
        <f t="shared" si="124"/>
        <v>5.04E-2</v>
      </c>
      <c r="D2010">
        <f t="shared" si="125"/>
        <v>2009</v>
      </c>
      <c r="E2010" t="str">
        <f t="shared" si="126"/>
        <v>Sep-2009</v>
      </c>
      <c r="F2010" s="12">
        <f t="shared" si="127"/>
        <v>6.36</v>
      </c>
    </row>
    <row r="2011" spans="1:6" x14ac:dyDescent="0.25">
      <c r="A2011" s="1">
        <v>40087</v>
      </c>
      <c r="B2011">
        <v>4.9400000000000004</v>
      </c>
      <c r="C2011" s="11">
        <f t="shared" si="124"/>
        <v>4.9400000000000006E-2</v>
      </c>
      <c r="D2011">
        <f t="shared" si="125"/>
        <v>2009</v>
      </c>
      <c r="E2011" t="str">
        <f t="shared" si="126"/>
        <v>Oct-2009</v>
      </c>
      <c r="F2011" s="12">
        <f t="shared" si="127"/>
        <v>6.36</v>
      </c>
    </row>
    <row r="2012" spans="1:6" x14ac:dyDescent="0.25">
      <c r="A2012" s="1">
        <v>40094</v>
      </c>
      <c r="B2012">
        <v>4.87</v>
      </c>
      <c r="C2012" s="11">
        <f t="shared" si="124"/>
        <v>4.87E-2</v>
      </c>
      <c r="D2012">
        <f t="shared" si="125"/>
        <v>2009</v>
      </c>
      <c r="E2012" t="str">
        <f t="shared" si="126"/>
        <v>Oct-2009</v>
      </c>
      <c r="F2012" s="12">
        <f t="shared" si="127"/>
        <v>6.36</v>
      </c>
    </row>
    <row r="2013" spans="1:6" x14ac:dyDescent="0.25">
      <c r="A2013" s="1">
        <v>40101</v>
      </c>
      <c r="B2013">
        <v>4.92</v>
      </c>
      <c r="C2013" s="11">
        <f t="shared" si="124"/>
        <v>4.9200000000000001E-2</v>
      </c>
      <c r="D2013">
        <f t="shared" si="125"/>
        <v>2009</v>
      </c>
      <c r="E2013" t="str">
        <f t="shared" si="126"/>
        <v>Oct-2009</v>
      </c>
      <c r="F2013" s="12">
        <f t="shared" si="127"/>
        <v>6.36</v>
      </c>
    </row>
    <row r="2014" spans="1:6" x14ac:dyDescent="0.25">
      <c r="A2014" s="1">
        <v>40108</v>
      </c>
      <c r="B2014">
        <v>5</v>
      </c>
      <c r="C2014" s="11">
        <f t="shared" si="124"/>
        <v>0.05</v>
      </c>
      <c r="D2014">
        <f t="shared" si="125"/>
        <v>2009</v>
      </c>
      <c r="E2014" t="str">
        <f t="shared" si="126"/>
        <v>Oct-2009</v>
      </c>
      <c r="F2014" s="12">
        <f t="shared" si="127"/>
        <v>6.36</v>
      </c>
    </row>
    <row r="2015" spans="1:6" x14ac:dyDescent="0.25">
      <c r="A2015" s="1">
        <v>40115</v>
      </c>
      <c r="B2015">
        <v>5.03</v>
      </c>
      <c r="C2015" s="11">
        <f t="shared" si="124"/>
        <v>5.0300000000000004E-2</v>
      </c>
      <c r="D2015">
        <f t="shared" si="125"/>
        <v>2009</v>
      </c>
      <c r="E2015" t="str">
        <f t="shared" si="126"/>
        <v>Oct-2009</v>
      </c>
      <c r="F2015" s="12">
        <f t="shared" si="127"/>
        <v>6.36</v>
      </c>
    </row>
    <row r="2016" spans="1:6" x14ac:dyDescent="0.25">
      <c r="A2016" s="1">
        <v>40122</v>
      </c>
      <c r="B2016">
        <v>4.9800000000000004</v>
      </c>
      <c r="C2016" s="11">
        <f t="shared" si="124"/>
        <v>4.9800000000000004E-2</v>
      </c>
      <c r="D2016">
        <f t="shared" si="125"/>
        <v>2009</v>
      </c>
      <c r="E2016" t="str">
        <f t="shared" si="126"/>
        <v>Nov-2009</v>
      </c>
      <c r="F2016" s="12">
        <f t="shared" si="127"/>
        <v>6.36</v>
      </c>
    </row>
    <row r="2017" spans="1:6" x14ac:dyDescent="0.25">
      <c r="A2017" s="1">
        <v>40129</v>
      </c>
      <c r="B2017">
        <v>4.91</v>
      </c>
      <c r="C2017" s="11">
        <f t="shared" si="124"/>
        <v>4.9100000000000005E-2</v>
      </c>
      <c r="D2017">
        <f t="shared" si="125"/>
        <v>2009</v>
      </c>
      <c r="E2017" t="str">
        <f t="shared" si="126"/>
        <v>Nov-2009</v>
      </c>
      <c r="F2017" s="12">
        <f t="shared" si="127"/>
        <v>6.36</v>
      </c>
    </row>
    <row r="2018" spans="1:6" x14ac:dyDescent="0.25">
      <c r="A2018" s="1">
        <v>40136</v>
      </c>
      <c r="B2018">
        <v>4.83</v>
      </c>
      <c r="C2018" s="11">
        <f t="shared" si="124"/>
        <v>4.8300000000000003E-2</v>
      </c>
      <c r="D2018">
        <f t="shared" si="125"/>
        <v>2009</v>
      </c>
      <c r="E2018" t="str">
        <f t="shared" si="126"/>
        <v>Nov-2009</v>
      </c>
      <c r="F2018" s="12">
        <f t="shared" si="127"/>
        <v>6.36</v>
      </c>
    </row>
    <row r="2019" spans="1:6" x14ac:dyDescent="0.25">
      <c r="A2019" s="1">
        <v>40142</v>
      </c>
      <c r="B2019">
        <v>4.78</v>
      </c>
      <c r="C2019" s="11">
        <f t="shared" si="124"/>
        <v>4.7800000000000002E-2</v>
      </c>
      <c r="D2019">
        <f t="shared" si="125"/>
        <v>2009</v>
      </c>
      <c r="E2019" t="str">
        <f t="shared" si="126"/>
        <v>Nov-2009</v>
      </c>
      <c r="F2019" s="12">
        <f t="shared" si="127"/>
        <v>6.36</v>
      </c>
    </row>
    <row r="2020" spans="1:6" x14ac:dyDescent="0.25">
      <c r="A2020" s="1">
        <v>40150</v>
      </c>
      <c r="B2020">
        <v>4.71</v>
      </c>
      <c r="C2020" s="11">
        <f t="shared" si="124"/>
        <v>4.7100000000000003E-2</v>
      </c>
      <c r="D2020">
        <f t="shared" si="125"/>
        <v>2009</v>
      </c>
      <c r="E2020" t="str">
        <f t="shared" si="126"/>
        <v>Dec-2009</v>
      </c>
      <c r="F2020" s="12">
        <f t="shared" si="127"/>
        <v>6.36</v>
      </c>
    </row>
    <row r="2021" spans="1:6" x14ac:dyDescent="0.25">
      <c r="A2021" s="1">
        <v>40157</v>
      </c>
      <c r="B2021">
        <v>4.8099999999999996</v>
      </c>
      <c r="C2021" s="11">
        <f t="shared" si="124"/>
        <v>4.8099999999999997E-2</v>
      </c>
      <c r="D2021">
        <f t="shared" si="125"/>
        <v>2009</v>
      </c>
      <c r="E2021" t="str">
        <f t="shared" si="126"/>
        <v>Dec-2009</v>
      </c>
      <c r="F2021" s="12">
        <f t="shared" si="127"/>
        <v>6.36</v>
      </c>
    </row>
    <row r="2022" spans="1:6" x14ac:dyDescent="0.25">
      <c r="A2022" s="1">
        <v>40164</v>
      </c>
      <c r="B2022">
        <v>4.9400000000000004</v>
      </c>
      <c r="C2022" s="11">
        <f t="shared" si="124"/>
        <v>4.9400000000000006E-2</v>
      </c>
      <c r="D2022">
        <f t="shared" si="125"/>
        <v>2009</v>
      </c>
      <c r="E2022" t="str">
        <f t="shared" si="126"/>
        <v>Dec-2009</v>
      </c>
      <c r="F2022" s="12">
        <f t="shared" si="127"/>
        <v>6.36</v>
      </c>
    </row>
    <row r="2023" spans="1:6" x14ac:dyDescent="0.25">
      <c r="A2023" s="1">
        <v>40171</v>
      </c>
      <c r="B2023">
        <v>5.05</v>
      </c>
      <c r="C2023" s="11">
        <f t="shared" si="124"/>
        <v>5.0499999999999996E-2</v>
      </c>
      <c r="D2023">
        <f t="shared" si="125"/>
        <v>2009</v>
      </c>
      <c r="E2023" t="str">
        <f t="shared" si="126"/>
        <v>Dec-2009</v>
      </c>
      <c r="F2023" s="12">
        <f t="shared" si="127"/>
        <v>6.36</v>
      </c>
    </row>
    <row r="2024" spans="1:6" x14ac:dyDescent="0.25">
      <c r="A2024" s="1">
        <v>40178</v>
      </c>
      <c r="B2024">
        <v>5.14</v>
      </c>
      <c r="C2024" s="11">
        <f t="shared" si="124"/>
        <v>5.1399999999999994E-2</v>
      </c>
      <c r="D2024">
        <f t="shared" si="125"/>
        <v>2009</v>
      </c>
      <c r="E2024" t="str">
        <f t="shared" si="126"/>
        <v>Dec-2009</v>
      </c>
      <c r="F2024" s="12">
        <f t="shared" si="127"/>
        <v>6.36</v>
      </c>
    </row>
    <row r="2025" spans="1:6" x14ac:dyDescent="0.25">
      <c r="A2025" s="1">
        <v>40185</v>
      </c>
      <c r="B2025">
        <v>5.09</v>
      </c>
      <c r="C2025" s="11">
        <f t="shared" si="124"/>
        <v>5.0900000000000001E-2</v>
      </c>
      <c r="D2025">
        <f t="shared" si="125"/>
        <v>2010</v>
      </c>
      <c r="E2025" t="str">
        <f t="shared" si="126"/>
        <v>Jan-2010</v>
      </c>
      <c r="F2025" s="12">
        <f t="shared" si="127"/>
        <v>6.36</v>
      </c>
    </row>
    <row r="2026" spans="1:6" x14ac:dyDescent="0.25">
      <c r="A2026" s="1">
        <v>40192</v>
      </c>
      <c r="B2026">
        <v>5.0599999999999996</v>
      </c>
      <c r="C2026" s="11">
        <f t="shared" si="124"/>
        <v>5.0599999999999999E-2</v>
      </c>
      <c r="D2026">
        <f t="shared" si="125"/>
        <v>2010</v>
      </c>
      <c r="E2026" t="str">
        <f t="shared" si="126"/>
        <v>Jan-2010</v>
      </c>
      <c r="F2026" s="12">
        <f t="shared" si="127"/>
        <v>6.36</v>
      </c>
    </row>
    <row r="2027" spans="1:6" x14ac:dyDescent="0.25">
      <c r="A2027" s="1">
        <v>40199</v>
      </c>
      <c r="B2027">
        <v>4.99</v>
      </c>
      <c r="C2027" s="11">
        <f t="shared" si="124"/>
        <v>4.99E-2</v>
      </c>
      <c r="D2027">
        <f t="shared" si="125"/>
        <v>2010</v>
      </c>
      <c r="E2027" t="str">
        <f t="shared" si="126"/>
        <v>Jan-2010</v>
      </c>
      <c r="F2027" s="12">
        <f t="shared" si="127"/>
        <v>6.36</v>
      </c>
    </row>
    <row r="2028" spans="1:6" x14ac:dyDescent="0.25">
      <c r="A2028" s="1">
        <v>40206</v>
      </c>
      <c r="B2028">
        <v>4.9800000000000004</v>
      </c>
      <c r="C2028" s="11">
        <f t="shared" si="124"/>
        <v>4.9800000000000004E-2</v>
      </c>
      <c r="D2028">
        <f t="shared" si="125"/>
        <v>2010</v>
      </c>
      <c r="E2028" t="str">
        <f t="shared" si="126"/>
        <v>Jan-2010</v>
      </c>
      <c r="F2028" s="12">
        <f t="shared" si="127"/>
        <v>6.36</v>
      </c>
    </row>
    <row r="2029" spans="1:6" x14ac:dyDescent="0.25">
      <c r="A2029" s="1">
        <v>40213</v>
      </c>
      <c r="B2029">
        <v>5.01</v>
      </c>
      <c r="C2029" s="11">
        <f t="shared" si="124"/>
        <v>5.0099999999999999E-2</v>
      </c>
      <c r="D2029">
        <f t="shared" si="125"/>
        <v>2010</v>
      </c>
      <c r="E2029" t="str">
        <f t="shared" si="126"/>
        <v>Feb-2010</v>
      </c>
      <c r="F2029" s="12">
        <f t="shared" si="127"/>
        <v>6.36</v>
      </c>
    </row>
    <row r="2030" spans="1:6" x14ac:dyDescent="0.25">
      <c r="A2030" s="1">
        <v>40220</v>
      </c>
      <c r="B2030">
        <v>4.97</v>
      </c>
      <c r="C2030" s="11">
        <f t="shared" si="124"/>
        <v>4.9699999999999994E-2</v>
      </c>
      <c r="D2030">
        <f t="shared" si="125"/>
        <v>2010</v>
      </c>
      <c r="E2030" t="str">
        <f t="shared" si="126"/>
        <v>Feb-2010</v>
      </c>
      <c r="F2030" s="12">
        <f t="shared" si="127"/>
        <v>6.36</v>
      </c>
    </row>
    <row r="2031" spans="1:6" x14ac:dyDescent="0.25">
      <c r="A2031" s="1">
        <v>40227</v>
      </c>
      <c r="B2031">
        <v>4.93</v>
      </c>
      <c r="C2031" s="11">
        <f t="shared" si="124"/>
        <v>4.9299999999999997E-2</v>
      </c>
      <c r="D2031">
        <f t="shared" si="125"/>
        <v>2010</v>
      </c>
      <c r="E2031" t="str">
        <f t="shared" si="126"/>
        <v>Feb-2010</v>
      </c>
      <c r="F2031" s="12">
        <f t="shared" si="127"/>
        <v>6.36</v>
      </c>
    </row>
    <row r="2032" spans="1:6" x14ac:dyDescent="0.25">
      <c r="A2032" s="1">
        <v>40234</v>
      </c>
      <c r="B2032">
        <v>5.05</v>
      </c>
      <c r="C2032" s="11">
        <f t="shared" si="124"/>
        <v>5.0499999999999996E-2</v>
      </c>
      <c r="D2032">
        <f t="shared" si="125"/>
        <v>2010</v>
      </c>
      <c r="E2032" t="str">
        <f t="shared" si="126"/>
        <v>Feb-2010</v>
      </c>
      <c r="F2032" s="12">
        <f t="shared" si="127"/>
        <v>6.36</v>
      </c>
    </row>
    <row r="2033" spans="1:6" x14ac:dyDescent="0.25">
      <c r="A2033" s="1">
        <v>40241</v>
      </c>
      <c r="B2033">
        <v>4.97</v>
      </c>
      <c r="C2033" s="11">
        <f t="shared" si="124"/>
        <v>4.9699999999999994E-2</v>
      </c>
      <c r="D2033">
        <f t="shared" si="125"/>
        <v>2010</v>
      </c>
      <c r="E2033" t="str">
        <f t="shared" si="126"/>
        <v>Mar-2010</v>
      </c>
      <c r="F2033" s="12">
        <f t="shared" si="127"/>
        <v>6.36</v>
      </c>
    </row>
    <row r="2034" spans="1:6" x14ac:dyDescent="0.25">
      <c r="A2034" s="1">
        <v>40248</v>
      </c>
      <c r="B2034">
        <v>4.95</v>
      </c>
      <c r="C2034" s="11">
        <f t="shared" si="124"/>
        <v>4.9500000000000002E-2</v>
      </c>
      <c r="D2034">
        <f t="shared" si="125"/>
        <v>2010</v>
      </c>
      <c r="E2034" t="str">
        <f t="shared" si="126"/>
        <v>Mar-2010</v>
      </c>
      <c r="F2034" s="12">
        <f t="shared" si="127"/>
        <v>6.36</v>
      </c>
    </row>
    <row r="2035" spans="1:6" x14ac:dyDescent="0.25">
      <c r="A2035" s="1">
        <v>40255</v>
      </c>
      <c r="B2035">
        <v>4.96</v>
      </c>
      <c r="C2035" s="11">
        <f t="shared" si="124"/>
        <v>4.9599999999999998E-2</v>
      </c>
      <c r="D2035">
        <f t="shared" si="125"/>
        <v>2010</v>
      </c>
      <c r="E2035" t="str">
        <f t="shared" si="126"/>
        <v>Mar-2010</v>
      </c>
      <c r="F2035" s="12">
        <f t="shared" si="127"/>
        <v>6.36</v>
      </c>
    </row>
    <row r="2036" spans="1:6" x14ac:dyDescent="0.25">
      <c r="A2036" s="1">
        <v>40262</v>
      </c>
      <c r="B2036">
        <v>4.99</v>
      </c>
      <c r="C2036" s="11">
        <f t="shared" si="124"/>
        <v>4.99E-2</v>
      </c>
      <c r="D2036">
        <f t="shared" si="125"/>
        <v>2010</v>
      </c>
      <c r="E2036" t="str">
        <f t="shared" si="126"/>
        <v>Mar-2010</v>
      </c>
      <c r="F2036" s="12">
        <f t="shared" si="127"/>
        <v>6.36</v>
      </c>
    </row>
    <row r="2037" spans="1:6" x14ac:dyDescent="0.25">
      <c r="A2037" s="1">
        <v>40269</v>
      </c>
      <c r="B2037">
        <v>5.08</v>
      </c>
      <c r="C2037" s="11">
        <f t="shared" si="124"/>
        <v>5.0799999999999998E-2</v>
      </c>
      <c r="D2037">
        <f t="shared" si="125"/>
        <v>2010</v>
      </c>
      <c r="E2037" t="str">
        <f t="shared" si="126"/>
        <v>Apr-2010</v>
      </c>
      <c r="F2037" s="12">
        <f t="shared" si="127"/>
        <v>6.36</v>
      </c>
    </row>
    <row r="2038" spans="1:6" x14ac:dyDescent="0.25">
      <c r="A2038" s="1">
        <v>40276</v>
      </c>
      <c r="B2038">
        <v>5.21</v>
      </c>
      <c r="C2038" s="11">
        <f t="shared" si="124"/>
        <v>5.21E-2</v>
      </c>
      <c r="D2038">
        <f t="shared" si="125"/>
        <v>2010</v>
      </c>
      <c r="E2038" t="str">
        <f t="shared" si="126"/>
        <v>Apr-2010</v>
      </c>
      <c r="F2038" s="12">
        <f t="shared" si="127"/>
        <v>6.36</v>
      </c>
    </row>
    <row r="2039" spans="1:6" x14ac:dyDescent="0.25">
      <c r="A2039" s="1">
        <v>40283</v>
      </c>
      <c r="B2039">
        <v>5.07</v>
      </c>
      <c r="C2039" s="11">
        <f t="shared" si="124"/>
        <v>5.0700000000000002E-2</v>
      </c>
      <c r="D2039">
        <f t="shared" si="125"/>
        <v>2010</v>
      </c>
      <c r="E2039" t="str">
        <f t="shared" si="126"/>
        <v>Apr-2010</v>
      </c>
      <c r="F2039" s="12">
        <f t="shared" si="127"/>
        <v>6.36</v>
      </c>
    </row>
    <row r="2040" spans="1:6" x14ac:dyDescent="0.25">
      <c r="A2040" s="1">
        <v>40290</v>
      </c>
      <c r="B2040">
        <v>5.07</v>
      </c>
      <c r="C2040" s="11">
        <f t="shared" si="124"/>
        <v>5.0700000000000002E-2</v>
      </c>
      <c r="D2040">
        <f t="shared" si="125"/>
        <v>2010</v>
      </c>
      <c r="E2040" t="str">
        <f t="shared" si="126"/>
        <v>Apr-2010</v>
      </c>
      <c r="F2040" s="12">
        <f t="shared" si="127"/>
        <v>6.36</v>
      </c>
    </row>
    <row r="2041" spans="1:6" x14ac:dyDescent="0.25">
      <c r="A2041" s="1">
        <v>40297</v>
      </c>
      <c r="B2041">
        <v>5.0599999999999996</v>
      </c>
      <c r="C2041" s="11">
        <f t="shared" si="124"/>
        <v>5.0599999999999999E-2</v>
      </c>
      <c r="D2041">
        <f t="shared" si="125"/>
        <v>2010</v>
      </c>
      <c r="E2041" t="str">
        <f t="shared" si="126"/>
        <v>Apr-2010</v>
      </c>
      <c r="F2041" s="12">
        <f t="shared" si="127"/>
        <v>6.36</v>
      </c>
    </row>
    <row r="2042" spans="1:6" x14ac:dyDescent="0.25">
      <c r="A2042" s="1">
        <v>40304</v>
      </c>
      <c r="B2042">
        <v>5</v>
      </c>
      <c r="C2042" s="11">
        <f t="shared" si="124"/>
        <v>0.05</v>
      </c>
      <c r="D2042">
        <f t="shared" si="125"/>
        <v>2010</v>
      </c>
      <c r="E2042" t="str">
        <f t="shared" si="126"/>
        <v>May-2010</v>
      </c>
      <c r="F2042" s="12">
        <f t="shared" si="127"/>
        <v>6.36</v>
      </c>
    </row>
    <row r="2043" spans="1:6" x14ac:dyDescent="0.25">
      <c r="A2043" s="1">
        <v>40311</v>
      </c>
      <c r="B2043">
        <v>4.93</v>
      </c>
      <c r="C2043" s="11">
        <f t="shared" si="124"/>
        <v>4.9299999999999997E-2</v>
      </c>
      <c r="D2043">
        <f t="shared" si="125"/>
        <v>2010</v>
      </c>
      <c r="E2043" t="str">
        <f t="shared" si="126"/>
        <v>May-2010</v>
      </c>
      <c r="F2043" s="12">
        <f t="shared" si="127"/>
        <v>6.36</v>
      </c>
    </row>
    <row r="2044" spans="1:6" x14ac:dyDescent="0.25">
      <c r="A2044" s="1">
        <v>40318</v>
      </c>
      <c r="B2044">
        <v>4.84</v>
      </c>
      <c r="C2044" s="11">
        <f t="shared" si="124"/>
        <v>4.8399999999999999E-2</v>
      </c>
      <c r="D2044">
        <f t="shared" si="125"/>
        <v>2010</v>
      </c>
      <c r="E2044" t="str">
        <f t="shared" si="126"/>
        <v>May-2010</v>
      </c>
      <c r="F2044" s="12">
        <f t="shared" si="127"/>
        <v>6.36</v>
      </c>
    </row>
    <row r="2045" spans="1:6" x14ac:dyDescent="0.25">
      <c r="A2045" s="1">
        <v>40325</v>
      </c>
      <c r="B2045">
        <v>4.78</v>
      </c>
      <c r="C2045" s="11">
        <f t="shared" si="124"/>
        <v>4.7800000000000002E-2</v>
      </c>
      <c r="D2045">
        <f t="shared" si="125"/>
        <v>2010</v>
      </c>
      <c r="E2045" t="str">
        <f t="shared" si="126"/>
        <v>May-2010</v>
      </c>
      <c r="F2045" s="12">
        <f t="shared" si="127"/>
        <v>6.36</v>
      </c>
    </row>
    <row r="2046" spans="1:6" x14ac:dyDescent="0.25">
      <c r="A2046" s="1">
        <v>40332</v>
      </c>
      <c r="B2046">
        <v>4.79</v>
      </c>
      <c r="C2046" s="11">
        <f t="shared" si="124"/>
        <v>4.7899999999999998E-2</v>
      </c>
      <c r="D2046">
        <f t="shared" si="125"/>
        <v>2010</v>
      </c>
      <c r="E2046" t="str">
        <f t="shared" si="126"/>
        <v>Jun-2010</v>
      </c>
      <c r="F2046" s="12">
        <f t="shared" si="127"/>
        <v>6.36</v>
      </c>
    </row>
    <row r="2047" spans="1:6" x14ac:dyDescent="0.25">
      <c r="A2047" s="1">
        <v>40339</v>
      </c>
      <c r="B2047">
        <v>4.72</v>
      </c>
      <c r="C2047" s="11">
        <f t="shared" si="124"/>
        <v>4.7199999999999999E-2</v>
      </c>
      <c r="D2047">
        <f t="shared" si="125"/>
        <v>2010</v>
      </c>
      <c r="E2047" t="str">
        <f t="shared" si="126"/>
        <v>Jun-2010</v>
      </c>
      <c r="F2047" s="12">
        <f t="shared" si="127"/>
        <v>6.36</v>
      </c>
    </row>
    <row r="2048" spans="1:6" x14ac:dyDescent="0.25">
      <c r="A2048" s="1">
        <v>40346</v>
      </c>
      <c r="B2048">
        <v>4.75</v>
      </c>
      <c r="C2048" s="11">
        <f t="shared" si="124"/>
        <v>4.7500000000000001E-2</v>
      </c>
      <c r="D2048">
        <f t="shared" si="125"/>
        <v>2010</v>
      </c>
      <c r="E2048" t="str">
        <f t="shared" si="126"/>
        <v>Jun-2010</v>
      </c>
      <c r="F2048" s="12">
        <f t="shared" si="127"/>
        <v>6.36</v>
      </c>
    </row>
    <row r="2049" spans="1:6" x14ac:dyDescent="0.25">
      <c r="A2049" s="1">
        <v>40353</v>
      </c>
      <c r="B2049">
        <v>4.6900000000000004</v>
      </c>
      <c r="C2049" s="11">
        <f t="shared" si="124"/>
        <v>4.6900000000000004E-2</v>
      </c>
      <c r="D2049">
        <f t="shared" si="125"/>
        <v>2010</v>
      </c>
      <c r="E2049" t="str">
        <f t="shared" si="126"/>
        <v>Jun-2010</v>
      </c>
      <c r="F2049" s="12">
        <f t="shared" si="127"/>
        <v>6.36</v>
      </c>
    </row>
    <row r="2050" spans="1:6" x14ac:dyDescent="0.25">
      <c r="A2050" s="1">
        <v>40360</v>
      </c>
      <c r="B2050">
        <v>4.58</v>
      </c>
      <c r="C2050" s="11">
        <f t="shared" ref="C2050:C2113" si="128">B2050/100</f>
        <v>4.58E-2</v>
      </c>
      <c r="D2050">
        <f t="shared" ref="D2050:D2113" si="129">YEAR(A2050)</f>
        <v>2010</v>
      </c>
      <c r="E2050" t="str">
        <f t="shared" ref="E2050:E2113" si="130">TEXT(A2050,"MMM-YYYY")</f>
        <v>Jul-2010</v>
      </c>
      <c r="F2050" s="12">
        <f t="shared" ref="F2050:F2113" si="131">$H$2</f>
        <v>6.36</v>
      </c>
    </row>
    <row r="2051" spans="1:6" x14ac:dyDescent="0.25">
      <c r="A2051" s="1">
        <v>40367</v>
      </c>
      <c r="B2051">
        <v>4.57</v>
      </c>
      <c r="C2051" s="11">
        <f t="shared" si="128"/>
        <v>4.5700000000000005E-2</v>
      </c>
      <c r="D2051">
        <f t="shared" si="129"/>
        <v>2010</v>
      </c>
      <c r="E2051" t="str">
        <f t="shared" si="130"/>
        <v>Jul-2010</v>
      </c>
      <c r="F2051" s="12">
        <f t="shared" si="131"/>
        <v>6.36</v>
      </c>
    </row>
    <row r="2052" spans="1:6" x14ac:dyDescent="0.25">
      <c r="A2052" s="1">
        <v>40374</v>
      </c>
      <c r="B2052">
        <v>4.57</v>
      </c>
      <c r="C2052" s="11">
        <f t="shared" si="128"/>
        <v>4.5700000000000005E-2</v>
      </c>
      <c r="D2052">
        <f t="shared" si="129"/>
        <v>2010</v>
      </c>
      <c r="E2052" t="str">
        <f t="shared" si="130"/>
        <v>Jul-2010</v>
      </c>
      <c r="F2052" s="12">
        <f t="shared" si="131"/>
        <v>6.36</v>
      </c>
    </row>
    <row r="2053" spans="1:6" x14ac:dyDescent="0.25">
      <c r="A2053" s="1">
        <v>40381</v>
      </c>
      <c r="B2053">
        <v>4.5599999999999996</v>
      </c>
      <c r="C2053" s="11">
        <f t="shared" si="128"/>
        <v>4.5599999999999995E-2</v>
      </c>
      <c r="D2053">
        <f t="shared" si="129"/>
        <v>2010</v>
      </c>
      <c r="E2053" t="str">
        <f t="shared" si="130"/>
        <v>Jul-2010</v>
      </c>
      <c r="F2053" s="12">
        <f t="shared" si="131"/>
        <v>6.36</v>
      </c>
    </row>
    <row r="2054" spans="1:6" x14ac:dyDescent="0.25">
      <c r="A2054" s="1">
        <v>40388</v>
      </c>
      <c r="B2054">
        <v>4.54</v>
      </c>
      <c r="C2054" s="11">
        <f t="shared" si="128"/>
        <v>4.5400000000000003E-2</v>
      </c>
      <c r="D2054">
        <f t="shared" si="129"/>
        <v>2010</v>
      </c>
      <c r="E2054" t="str">
        <f t="shared" si="130"/>
        <v>Jul-2010</v>
      </c>
      <c r="F2054" s="12">
        <f t="shared" si="131"/>
        <v>6.36</v>
      </c>
    </row>
    <row r="2055" spans="1:6" x14ac:dyDescent="0.25">
      <c r="A2055" s="1">
        <v>40395</v>
      </c>
      <c r="B2055">
        <v>4.49</v>
      </c>
      <c r="C2055" s="11">
        <f t="shared" si="128"/>
        <v>4.4900000000000002E-2</v>
      </c>
      <c r="D2055">
        <f t="shared" si="129"/>
        <v>2010</v>
      </c>
      <c r="E2055" t="str">
        <f t="shared" si="130"/>
        <v>Aug-2010</v>
      </c>
      <c r="F2055" s="12">
        <f t="shared" si="131"/>
        <v>6.36</v>
      </c>
    </row>
    <row r="2056" spans="1:6" x14ac:dyDescent="0.25">
      <c r="A2056" s="1">
        <v>40402</v>
      </c>
      <c r="B2056">
        <v>4.4400000000000004</v>
      </c>
      <c r="C2056" s="11">
        <f t="shared" si="128"/>
        <v>4.4400000000000002E-2</v>
      </c>
      <c r="D2056">
        <f t="shared" si="129"/>
        <v>2010</v>
      </c>
      <c r="E2056" t="str">
        <f t="shared" si="130"/>
        <v>Aug-2010</v>
      </c>
      <c r="F2056" s="12">
        <f t="shared" si="131"/>
        <v>6.36</v>
      </c>
    </row>
    <row r="2057" spans="1:6" x14ac:dyDescent="0.25">
      <c r="A2057" s="1">
        <v>40409</v>
      </c>
      <c r="B2057">
        <v>4.42</v>
      </c>
      <c r="C2057" s="11">
        <f t="shared" si="128"/>
        <v>4.4199999999999996E-2</v>
      </c>
      <c r="D2057">
        <f t="shared" si="129"/>
        <v>2010</v>
      </c>
      <c r="E2057" t="str">
        <f t="shared" si="130"/>
        <v>Aug-2010</v>
      </c>
      <c r="F2057" s="12">
        <f t="shared" si="131"/>
        <v>6.36</v>
      </c>
    </row>
    <row r="2058" spans="1:6" x14ac:dyDescent="0.25">
      <c r="A2058" s="1">
        <v>40416</v>
      </c>
      <c r="B2058">
        <v>4.3600000000000003</v>
      </c>
      <c r="C2058" s="11">
        <f t="shared" si="128"/>
        <v>4.36E-2</v>
      </c>
      <c r="D2058">
        <f t="shared" si="129"/>
        <v>2010</v>
      </c>
      <c r="E2058" t="str">
        <f t="shared" si="130"/>
        <v>Aug-2010</v>
      </c>
      <c r="F2058" s="12">
        <f t="shared" si="131"/>
        <v>6.36</v>
      </c>
    </row>
    <row r="2059" spans="1:6" x14ac:dyDescent="0.25">
      <c r="A2059" s="1">
        <v>40423</v>
      </c>
      <c r="B2059">
        <v>4.32</v>
      </c>
      <c r="C2059" s="11">
        <f t="shared" si="128"/>
        <v>4.3200000000000002E-2</v>
      </c>
      <c r="D2059">
        <f t="shared" si="129"/>
        <v>2010</v>
      </c>
      <c r="E2059" t="str">
        <f t="shared" si="130"/>
        <v>Sep-2010</v>
      </c>
      <c r="F2059" s="12">
        <f t="shared" si="131"/>
        <v>6.36</v>
      </c>
    </row>
    <row r="2060" spans="1:6" x14ac:dyDescent="0.25">
      <c r="A2060" s="1">
        <v>40430</v>
      </c>
      <c r="B2060">
        <v>4.3499999999999996</v>
      </c>
      <c r="C2060" s="11">
        <f t="shared" si="128"/>
        <v>4.3499999999999997E-2</v>
      </c>
      <c r="D2060">
        <f t="shared" si="129"/>
        <v>2010</v>
      </c>
      <c r="E2060" t="str">
        <f t="shared" si="130"/>
        <v>Sep-2010</v>
      </c>
      <c r="F2060" s="12">
        <f t="shared" si="131"/>
        <v>6.36</v>
      </c>
    </row>
    <row r="2061" spans="1:6" x14ac:dyDescent="0.25">
      <c r="A2061" s="1">
        <v>40437</v>
      </c>
      <c r="B2061">
        <v>4.37</v>
      </c>
      <c r="C2061" s="11">
        <f t="shared" si="128"/>
        <v>4.3700000000000003E-2</v>
      </c>
      <c r="D2061">
        <f t="shared" si="129"/>
        <v>2010</v>
      </c>
      <c r="E2061" t="str">
        <f t="shared" si="130"/>
        <v>Sep-2010</v>
      </c>
      <c r="F2061" s="12">
        <f t="shared" si="131"/>
        <v>6.36</v>
      </c>
    </row>
    <row r="2062" spans="1:6" x14ac:dyDescent="0.25">
      <c r="A2062" s="1">
        <v>40444</v>
      </c>
      <c r="B2062">
        <v>4.37</v>
      </c>
      <c r="C2062" s="11">
        <f t="shared" si="128"/>
        <v>4.3700000000000003E-2</v>
      </c>
      <c r="D2062">
        <f t="shared" si="129"/>
        <v>2010</v>
      </c>
      <c r="E2062" t="str">
        <f t="shared" si="130"/>
        <v>Sep-2010</v>
      </c>
      <c r="F2062" s="12">
        <f t="shared" si="131"/>
        <v>6.36</v>
      </c>
    </row>
    <row r="2063" spans="1:6" x14ac:dyDescent="0.25">
      <c r="A2063" s="1">
        <v>40451</v>
      </c>
      <c r="B2063">
        <v>4.32</v>
      </c>
      <c r="C2063" s="11">
        <f t="shared" si="128"/>
        <v>4.3200000000000002E-2</v>
      </c>
      <c r="D2063">
        <f t="shared" si="129"/>
        <v>2010</v>
      </c>
      <c r="E2063" t="str">
        <f t="shared" si="130"/>
        <v>Sep-2010</v>
      </c>
      <c r="F2063" s="12">
        <f t="shared" si="131"/>
        <v>6.36</v>
      </c>
    </row>
    <row r="2064" spans="1:6" x14ac:dyDescent="0.25">
      <c r="A2064" s="1">
        <v>40458</v>
      </c>
      <c r="B2064">
        <v>4.2699999999999996</v>
      </c>
      <c r="C2064" s="11">
        <f t="shared" si="128"/>
        <v>4.2699999999999995E-2</v>
      </c>
      <c r="D2064">
        <f t="shared" si="129"/>
        <v>2010</v>
      </c>
      <c r="E2064" t="str">
        <f t="shared" si="130"/>
        <v>Oct-2010</v>
      </c>
      <c r="F2064" s="12">
        <f t="shared" si="131"/>
        <v>6.36</v>
      </c>
    </row>
    <row r="2065" spans="1:6" x14ac:dyDescent="0.25">
      <c r="A2065" s="1">
        <v>40465</v>
      </c>
      <c r="B2065">
        <v>4.1900000000000004</v>
      </c>
      <c r="C2065" s="11">
        <f t="shared" si="128"/>
        <v>4.1900000000000007E-2</v>
      </c>
      <c r="D2065">
        <f t="shared" si="129"/>
        <v>2010</v>
      </c>
      <c r="E2065" t="str">
        <f t="shared" si="130"/>
        <v>Oct-2010</v>
      </c>
      <c r="F2065" s="12">
        <f t="shared" si="131"/>
        <v>6.36</v>
      </c>
    </row>
    <row r="2066" spans="1:6" x14ac:dyDescent="0.25">
      <c r="A2066" s="1">
        <v>40472</v>
      </c>
      <c r="B2066">
        <v>4.21</v>
      </c>
      <c r="C2066" s="11">
        <f t="shared" si="128"/>
        <v>4.2099999999999999E-2</v>
      </c>
      <c r="D2066">
        <f t="shared" si="129"/>
        <v>2010</v>
      </c>
      <c r="E2066" t="str">
        <f t="shared" si="130"/>
        <v>Oct-2010</v>
      </c>
      <c r="F2066" s="12">
        <f t="shared" si="131"/>
        <v>6.36</v>
      </c>
    </row>
    <row r="2067" spans="1:6" x14ac:dyDescent="0.25">
      <c r="A2067" s="1">
        <v>40479</v>
      </c>
      <c r="B2067">
        <v>4.2300000000000004</v>
      </c>
      <c r="C2067" s="11">
        <f t="shared" si="128"/>
        <v>4.2300000000000004E-2</v>
      </c>
      <c r="D2067">
        <f t="shared" si="129"/>
        <v>2010</v>
      </c>
      <c r="E2067" t="str">
        <f t="shared" si="130"/>
        <v>Oct-2010</v>
      </c>
      <c r="F2067" s="12">
        <f t="shared" si="131"/>
        <v>6.36</v>
      </c>
    </row>
    <row r="2068" spans="1:6" x14ac:dyDescent="0.25">
      <c r="A2068" s="1">
        <v>40486</v>
      </c>
      <c r="B2068">
        <v>4.24</v>
      </c>
      <c r="C2068" s="11">
        <f t="shared" si="128"/>
        <v>4.24E-2</v>
      </c>
      <c r="D2068">
        <f t="shared" si="129"/>
        <v>2010</v>
      </c>
      <c r="E2068" t="str">
        <f t="shared" si="130"/>
        <v>Nov-2010</v>
      </c>
      <c r="F2068" s="12">
        <f t="shared" si="131"/>
        <v>6.36</v>
      </c>
    </row>
    <row r="2069" spans="1:6" x14ac:dyDescent="0.25">
      <c r="A2069" s="1">
        <v>40493</v>
      </c>
      <c r="B2069">
        <v>4.17</v>
      </c>
      <c r="C2069" s="11">
        <f t="shared" si="128"/>
        <v>4.1700000000000001E-2</v>
      </c>
      <c r="D2069">
        <f t="shared" si="129"/>
        <v>2010</v>
      </c>
      <c r="E2069" t="str">
        <f t="shared" si="130"/>
        <v>Nov-2010</v>
      </c>
      <c r="F2069" s="12">
        <f t="shared" si="131"/>
        <v>6.36</v>
      </c>
    </row>
    <row r="2070" spans="1:6" x14ac:dyDescent="0.25">
      <c r="A2070" s="1">
        <v>40500</v>
      </c>
      <c r="B2070">
        <v>4.3899999999999997</v>
      </c>
      <c r="C2070" s="11">
        <f t="shared" si="128"/>
        <v>4.3899999999999995E-2</v>
      </c>
      <c r="D2070">
        <f t="shared" si="129"/>
        <v>2010</v>
      </c>
      <c r="E2070" t="str">
        <f t="shared" si="130"/>
        <v>Nov-2010</v>
      </c>
      <c r="F2070" s="12">
        <f t="shared" si="131"/>
        <v>6.36</v>
      </c>
    </row>
    <row r="2071" spans="1:6" x14ac:dyDescent="0.25">
      <c r="A2071" s="1">
        <v>40506</v>
      </c>
      <c r="B2071">
        <v>4.4000000000000004</v>
      </c>
      <c r="C2071" s="11">
        <f t="shared" si="128"/>
        <v>4.4000000000000004E-2</v>
      </c>
      <c r="D2071">
        <f t="shared" si="129"/>
        <v>2010</v>
      </c>
      <c r="E2071" t="str">
        <f t="shared" si="130"/>
        <v>Nov-2010</v>
      </c>
      <c r="F2071" s="12">
        <f t="shared" si="131"/>
        <v>6.36</v>
      </c>
    </row>
    <row r="2072" spans="1:6" x14ac:dyDescent="0.25">
      <c r="A2072" s="1">
        <v>40514</v>
      </c>
      <c r="B2072">
        <v>4.46</v>
      </c>
      <c r="C2072" s="11">
        <f t="shared" si="128"/>
        <v>4.4600000000000001E-2</v>
      </c>
      <c r="D2072">
        <f t="shared" si="129"/>
        <v>2010</v>
      </c>
      <c r="E2072" t="str">
        <f t="shared" si="130"/>
        <v>Dec-2010</v>
      </c>
      <c r="F2072" s="12">
        <f t="shared" si="131"/>
        <v>6.36</v>
      </c>
    </row>
    <row r="2073" spans="1:6" x14ac:dyDescent="0.25">
      <c r="A2073" s="1">
        <v>40521</v>
      </c>
      <c r="B2073">
        <v>4.6100000000000003</v>
      </c>
      <c r="C2073" s="11">
        <f t="shared" si="128"/>
        <v>4.6100000000000002E-2</v>
      </c>
      <c r="D2073">
        <f t="shared" si="129"/>
        <v>2010</v>
      </c>
      <c r="E2073" t="str">
        <f t="shared" si="130"/>
        <v>Dec-2010</v>
      </c>
      <c r="F2073" s="12">
        <f t="shared" si="131"/>
        <v>6.36</v>
      </c>
    </row>
    <row r="2074" spans="1:6" x14ac:dyDescent="0.25">
      <c r="A2074" s="1">
        <v>40528</v>
      </c>
      <c r="B2074">
        <v>4.83</v>
      </c>
      <c r="C2074" s="11">
        <f t="shared" si="128"/>
        <v>4.8300000000000003E-2</v>
      </c>
      <c r="D2074">
        <f t="shared" si="129"/>
        <v>2010</v>
      </c>
      <c r="E2074" t="str">
        <f t="shared" si="130"/>
        <v>Dec-2010</v>
      </c>
      <c r="F2074" s="12">
        <f t="shared" si="131"/>
        <v>6.36</v>
      </c>
    </row>
    <row r="2075" spans="1:6" x14ac:dyDescent="0.25">
      <c r="A2075" s="1">
        <v>40535</v>
      </c>
      <c r="B2075">
        <v>4.8099999999999996</v>
      </c>
      <c r="C2075" s="11">
        <f t="shared" si="128"/>
        <v>4.8099999999999997E-2</v>
      </c>
      <c r="D2075">
        <f t="shared" si="129"/>
        <v>2010</v>
      </c>
      <c r="E2075" t="str">
        <f t="shared" si="130"/>
        <v>Dec-2010</v>
      </c>
      <c r="F2075" s="12">
        <f t="shared" si="131"/>
        <v>6.36</v>
      </c>
    </row>
    <row r="2076" spans="1:6" x14ac:dyDescent="0.25">
      <c r="A2076" s="1">
        <v>40542</v>
      </c>
      <c r="B2076">
        <v>4.8600000000000003</v>
      </c>
      <c r="C2076" s="11">
        <f t="shared" si="128"/>
        <v>4.8600000000000004E-2</v>
      </c>
      <c r="D2076">
        <f t="shared" si="129"/>
        <v>2010</v>
      </c>
      <c r="E2076" t="str">
        <f t="shared" si="130"/>
        <v>Dec-2010</v>
      </c>
      <c r="F2076" s="12">
        <f t="shared" si="131"/>
        <v>6.36</v>
      </c>
    </row>
    <row r="2077" spans="1:6" x14ac:dyDescent="0.25">
      <c r="A2077" s="1">
        <v>40549</v>
      </c>
      <c r="B2077">
        <v>4.7699999999999996</v>
      </c>
      <c r="C2077" s="11">
        <f t="shared" si="128"/>
        <v>4.7699999999999992E-2</v>
      </c>
      <c r="D2077">
        <f t="shared" si="129"/>
        <v>2011</v>
      </c>
      <c r="E2077" t="str">
        <f t="shared" si="130"/>
        <v>Jan-2011</v>
      </c>
      <c r="F2077" s="12">
        <f t="shared" si="131"/>
        <v>6.36</v>
      </c>
    </row>
    <row r="2078" spans="1:6" x14ac:dyDescent="0.25">
      <c r="A2078" s="1">
        <v>40556</v>
      </c>
      <c r="B2078">
        <v>4.71</v>
      </c>
      <c r="C2078" s="11">
        <f t="shared" si="128"/>
        <v>4.7100000000000003E-2</v>
      </c>
      <c r="D2078">
        <f t="shared" si="129"/>
        <v>2011</v>
      </c>
      <c r="E2078" t="str">
        <f t="shared" si="130"/>
        <v>Jan-2011</v>
      </c>
      <c r="F2078" s="12">
        <f t="shared" si="131"/>
        <v>6.36</v>
      </c>
    </row>
    <row r="2079" spans="1:6" x14ac:dyDescent="0.25">
      <c r="A2079" s="1">
        <v>40563</v>
      </c>
      <c r="B2079">
        <v>4.74</v>
      </c>
      <c r="C2079" s="11">
        <f t="shared" si="128"/>
        <v>4.7400000000000005E-2</v>
      </c>
      <c r="D2079">
        <f t="shared" si="129"/>
        <v>2011</v>
      </c>
      <c r="E2079" t="str">
        <f t="shared" si="130"/>
        <v>Jan-2011</v>
      </c>
      <c r="F2079" s="12">
        <f t="shared" si="131"/>
        <v>6.36</v>
      </c>
    </row>
    <row r="2080" spans="1:6" x14ac:dyDescent="0.25">
      <c r="A2080" s="1">
        <v>40570</v>
      </c>
      <c r="B2080">
        <v>4.8</v>
      </c>
      <c r="C2080" s="11">
        <f t="shared" si="128"/>
        <v>4.8000000000000001E-2</v>
      </c>
      <c r="D2080">
        <f t="shared" si="129"/>
        <v>2011</v>
      </c>
      <c r="E2080" t="str">
        <f t="shared" si="130"/>
        <v>Jan-2011</v>
      </c>
      <c r="F2080" s="12">
        <f t="shared" si="131"/>
        <v>6.36</v>
      </c>
    </row>
    <row r="2081" spans="1:6" x14ac:dyDescent="0.25">
      <c r="A2081" s="1">
        <v>40577</v>
      </c>
      <c r="B2081">
        <v>4.8099999999999996</v>
      </c>
      <c r="C2081" s="11">
        <f t="shared" si="128"/>
        <v>4.8099999999999997E-2</v>
      </c>
      <c r="D2081">
        <f t="shared" si="129"/>
        <v>2011</v>
      </c>
      <c r="E2081" t="str">
        <f t="shared" si="130"/>
        <v>Feb-2011</v>
      </c>
      <c r="F2081" s="12">
        <f t="shared" si="131"/>
        <v>6.36</v>
      </c>
    </row>
    <row r="2082" spans="1:6" x14ac:dyDescent="0.25">
      <c r="A2082" s="1">
        <v>40584</v>
      </c>
      <c r="B2082">
        <v>5.05</v>
      </c>
      <c r="C2082" s="11">
        <f t="shared" si="128"/>
        <v>5.0499999999999996E-2</v>
      </c>
      <c r="D2082">
        <f t="shared" si="129"/>
        <v>2011</v>
      </c>
      <c r="E2082" t="str">
        <f t="shared" si="130"/>
        <v>Feb-2011</v>
      </c>
      <c r="F2082" s="12">
        <f t="shared" si="131"/>
        <v>6.36</v>
      </c>
    </row>
    <row r="2083" spans="1:6" x14ac:dyDescent="0.25">
      <c r="A2083" s="1">
        <v>40591</v>
      </c>
      <c r="B2083">
        <v>5</v>
      </c>
      <c r="C2083" s="11">
        <f t="shared" si="128"/>
        <v>0.05</v>
      </c>
      <c r="D2083">
        <f t="shared" si="129"/>
        <v>2011</v>
      </c>
      <c r="E2083" t="str">
        <f t="shared" si="130"/>
        <v>Feb-2011</v>
      </c>
      <c r="F2083" s="12">
        <f t="shared" si="131"/>
        <v>6.36</v>
      </c>
    </row>
    <row r="2084" spans="1:6" x14ac:dyDescent="0.25">
      <c r="A2084" s="1">
        <v>40598</v>
      </c>
      <c r="B2084">
        <v>4.95</v>
      </c>
      <c r="C2084" s="11">
        <f t="shared" si="128"/>
        <v>4.9500000000000002E-2</v>
      </c>
      <c r="D2084">
        <f t="shared" si="129"/>
        <v>2011</v>
      </c>
      <c r="E2084" t="str">
        <f t="shared" si="130"/>
        <v>Feb-2011</v>
      </c>
      <c r="F2084" s="12">
        <f t="shared" si="131"/>
        <v>6.36</v>
      </c>
    </row>
    <row r="2085" spans="1:6" x14ac:dyDescent="0.25">
      <c r="A2085" s="1">
        <v>40605</v>
      </c>
      <c r="B2085">
        <v>4.87</v>
      </c>
      <c r="C2085" s="11">
        <f t="shared" si="128"/>
        <v>4.87E-2</v>
      </c>
      <c r="D2085">
        <f t="shared" si="129"/>
        <v>2011</v>
      </c>
      <c r="E2085" t="str">
        <f t="shared" si="130"/>
        <v>Mar-2011</v>
      </c>
      <c r="F2085" s="12">
        <f t="shared" si="131"/>
        <v>6.36</v>
      </c>
    </row>
    <row r="2086" spans="1:6" x14ac:dyDescent="0.25">
      <c r="A2086" s="1">
        <v>40612</v>
      </c>
      <c r="B2086">
        <v>4.88</v>
      </c>
      <c r="C2086" s="11">
        <f t="shared" si="128"/>
        <v>4.8799999999999996E-2</v>
      </c>
      <c r="D2086">
        <f t="shared" si="129"/>
        <v>2011</v>
      </c>
      <c r="E2086" t="str">
        <f t="shared" si="130"/>
        <v>Mar-2011</v>
      </c>
      <c r="F2086" s="12">
        <f t="shared" si="131"/>
        <v>6.36</v>
      </c>
    </row>
    <row r="2087" spans="1:6" x14ac:dyDescent="0.25">
      <c r="A2087" s="1">
        <v>40619</v>
      </c>
      <c r="B2087">
        <v>4.76</v>
      </c>
      <c r="C2087" s="11">
        <f t="shared" si="128"/>
        <v>4.7599999999999996E-2</v>
      </c>
      <c r="D2087">
        <f t="shared" si="129"/>
        <v>2011</v>
      </c>
      <c r="E2087" t="str">
        <f t="shared" si="130"/>
        <v>Mar-2011</v>
      </c>
      <c r="F2087" s="12">
        <f t="shared" si="131"/>
        <v>6.36</v>
      </c>
    </row>
    <row r="2088" spans="1:6" x14ac:dyDescent="0.25">
      <c r="A2088" s="1">
        <v>40626</v>
      </c>
      <c r="B2088">
        <v>4.8099999999999996</v>
      </c>
      <c r="C2088" s="11">
        <f t="shared" si="128"/>
        <v>4.8099999999999997E-2</v>
      </c>
      <c r="D2088">
        <f t="shared" si="129"/>
        <v>2011</v>
      </c>
      <c r="E2088" t="str">
        <f t="shared" si="130"/>
        <v>Mar-2011</v>
      </c>
      <c r="F2088" s="12">
        <f t="shared" si="131"/>
        <v>6.36</v>
      </c>
    </row>
    <row r="2089" spans="1:6" x14ac:dyDescent="0.25">
      <c r="A2089" s="1">
        <v>40633</v>
      </c>
      <c r="B2089">
        <v>4.8600000000000003</v>
      </c>
      <c r="C2089" s="11">
        <f t="shared" si="128"/>
        <v>4.8600000000000004E-2</v>
      </c>
      <c r="D2089">
        <f t="shared" si="129"/>
        <v>2011</v>
      </c>
      <c r="E2089" t="str">
        <f t="shared" si="130"/>
        <v>Mar-2011</v>
      </c>
      <c r="F2089" s="12">
        <f t="shared" si="131"/>
        <v>6.36</v>
      </c>
    </row>
    <row r="2090" spans="1:6" x14ac:dyDescent="0.25">
      <c r="A2090" s="1">
        <v>40640</v>
      </c>
      <c r="B2090">
        <v>4.87</v>
      </c>
      <c r="C2090" s="11">
        <f t="shared" si="128"/>
        <v>4.87E-2</v>
      </c>
      <c r="D2090">
        <f t="shared" si="129"/>
        <v>2011</v>
      </c>
      <c r="E2090" t="str">
        <f t="shared" si="130"/>
        <v>Apr-2011</v>
      </c>
      <c r="F2090" s="12">
        <f t="shared" si="131"/>
        <v>6.36</v>
      </c>
    </row>
    <row r="2091" spans="1:6" x14ac:dyDescent="0.25">
      <c r="A2091" s="1">
        <v>40647</v>
      </c>
      <c r="B2091">
        <v>4.91</v>
      </c>
      <c r="C2091" s="11">
        <f t="shared" si="128"/>
        <v>4.9100000000000005E-2</v>
      </c>
      <c r="D2091">
        <f t="shared" si="129"/>
        <v>2011</v>
      </c>
      <c r="E2091" t="str">
        <f t="shared" si="130"/>
        <v>Apr-2011</v>
      </c>
      <c r="F2091" s="12">
        <f t="shared" si="131"/>
        <v>6.36</v>
      </c>
    </row>
    <row r="2092" spans="1:6" x14ac:dyDescent="0.25">
      <c r="A2092" s="1">
        <v>40654</v>
      </c>
      <c r="B2092">
        <v>4.8</v>
      </c>
      <c r="C2092" s="11">
        <f t="shared" si="128"/>
        <v>4.8000000000000001E-2</v>
      </c>
      <c r="D2092">
        <f t="shared" si="129"/>
        <v>2011</v>
      </c>
      <c r="E2092" t="str">
        <f t="shared" si="130"/>
        <v>Apr-2011</v>
      </c>
      <c r="F2092" s="12">
        <f t="shared" si="131"/>
        <v>6.36</v>
      </c>
    </row>
    <row r="2093" spans="1:6" x14ac:dyDescent="0.25">
      <c r="A2093" s="1">
        <v>40661</v>
      </c>
      <c r="B2093">
        <v>4.78</v>
      </c>
      <c r="C2093" s="11">
        <f t="shared" si="128"/>
        <v>4.7800000000000002E-2</v>
      </c>
      <c r="D2093">
        <f t="shared" si="129"/>
        <v>2011</v>
      </c>
      <c r="E2093" t="str">
        <f t="shared" si="130"/>
        <v>Apr-2011</v>
      </c>
      <c r="F2093" s="12">
        <f t="shared" si="131"/>
        <v>6.36</v>
      </c>
    </row>
    <row r="2094" spans="1:6" x14ac:dyDescent="0.25">
      <c r="A2094" s="1">
        <v>40668</v>
      </c>
      <c r="B2094">
        <v>4.71</v>
      </c>
      <c r="C2094" s="11">
        <f t="shared" si="128"/>
        <v>4.7100000000000003E-2</v>
      </c>
      <c r="D2094">
        <f t="shared" si="129"/>
        <v>2011</v>
      </c>
      <c r="E2094" t="str">
        <f t="shared" si="130"/>
        <v>May-2011</v>
      </c>
      <c r="F2094" s="12">
        <f t="shared" si="131"/>
        <v>6.36</v>
      </c>
    </row>
    <row r="2095" spans="1:6" x14ac:dyDescent="0.25">
      <c r="A2095" s="1">
        <v>40675</v>
      </c>
      <c r="B2095">
        <v>4.63</v>
      </c>
      <c r="C2095" s="11">
        <f t="shared" si="128"/>
        <v>4.6300000000000001E-2</v>
      </c>
      <c r="D2095">
        <f t="shared" si="129"/>
        <v>2011</v>
      </c>
      <c r="E2095" t="str">
        <f t="shared" si="130"/>
        <v>May-2011</v>
      </c>
      <c r="F2095" s="12">
        <f t="shared" si="131"/>
        <v>6.36</v>
      </c>
    </row>
    <row r="2096" spans="1:6" x14ac:dyDescent="0.25">
      <c r="A2096" s="1">
        <v>40682</v>
      </c>
      <c r="B2096">
        <v>4.6100000000000003</v>
      </c>
      <c r="C2096" s="11">
        <f t="shared" si="128"/>
        <v>4.6100000000000002E-2</v>
      </c>
      <c r="D2096">
        <f t="shared" si="129"/>
        <v>2011</v>
      </c>
      <c r="E2096" t="str">
        <f t="shared" si="130"/>
        <v>May-2011</v>
      </c>
      <c r="F2096" s="12">
        <f t="shared" si="131"/>
        <v>6.36</v>
      </c>
    </row>
    <row r="2097" spans="1:6" x14ac:dyDescent="0.25">
      <c r="A2097" s="1">
        <v>40689</v>
      </c>
      <c r="B2097">
        <v>4.5999999999999996</v>
      </c>
      <c r="C2097" s="11">
        <f t="shared" si="128"/>
        <v>4.5999999999999999E-2</v>
      </c>
      <c r="D2097">
        <f t="shared" si="129"/>
        <v>2011</v>
      </c>
      <c r="E2097" t="str">
        <f t="shared" si="130"/>
        <v>May-2011</v>
      </c>
      <c r="F2097" s="12">
        <f t="shared" si="131"/>
        <v>6.36</v>
      </c>
    </row>
    <row r="2098" spans="1:6" x14ac:dyDescent="0.25">
      <c r="A2098" s="1">
        <v>40696</v>
      </c>
      <c r="B2098">
        <v>4.55</v>
      </c>
      <c r="C2098" s="11">
        <f t="shared" si="128"/>
        <v>4.5499999999999999E-2</v>
      </c>
      <c r="D2098">
        <f t="shared" si="129"/>
        <v>2011</v>
      </c>
      <c r="E2098" t="str">
        <f t="shared" si="130"/>
        <v>Jun-2011</v>
      </c>
      <c r="F2098" s="12">
        <f t="shared" si="131"/>
        <v>6.36</v>
      </c>
    </row>
    <row r="2099" spans="1:6" x14ac:dyDescent="0.25">
      <c r="A2099" s="1">
        <v>40703</v>
      </c>
      <c r="B2099">
        <v>4.49</v>
      </c>
      <c r="C2099" s="11">
        <f t="shared" si="128"/>
        <v>4.4900000000000002E-2</v>
      </c>
      <c r="D2099">
        <f t="shared" si="129"/>
        <v>2011</v>
      </c>
      <c r="E2099" t="str">
        <f t="shared" si="130"/>
        <v>Jun-2011</v>
      </c>
      <c r="F2099" s="12">
        <f t="shared" si="131"/>
        <v>6.36</v>
      </c>
    </row>
    <row r="2100" spans="1:6" x14ac:dyDescent="0.25">
      <c r="A2100" s="1">
        <v>40710</v>
      </c>
      <c r="B2100">
        <v>4.5</v>
      </c>
      <c r="C2100" s="11">
        <f t="shared" si="128"/>
        <v>4.4999999999999998E-2</v>
      </c>
      <c r="D2100">
        <f t="shared" si="129"/>
        <v>2011</v>
      </c>
      <c r="E2100" t="str">
        <f t="shared" si="130"/>
        <v>Jun-2011</v>
      </c>
      <c r="F2100" s="12">
        <f t="shared" si="131"/>
        <v>6.36</v>
      </c>
    </row>
    <row r="2101" spans="1:6" x14ac:dyDescent="0.25">
      <c r="A2101" s="1">
        <v>40717</v>
      </c>
      <c r="B2101">
        <v>4.5</v>
      </c>
      <c r="C2101" s="11">
        <f t="shared" si="128"/>
        <v>4.4999999999999998E-2</v>
      </c>
      <c r="D2101">
        <f t="shared" si="129"/>
        <v>2011</v>
      </c>
      <c r="E2101" t="str">
        <f t="shared" si="130"/>
        <v>Jun-2011</v>
      </c>
      <c r="F2101" s="12">
        <f t="shared" si="131"/>
        <v>6.36</v>
      </c>
    </row>
    <row r="2102" spans="1:6" x14ac:dyDescent="0.25">
      <c r="A2102" s="1">
        <v>40724</v>
      </c>
      <c r="B2102">
        <v>4.51</v>
      </c>
      <c r="C2102" s="11">
        <f t="shared" si="128"/>
        <v>4.5100000000000001E-2</v>
      </c>
      <c r="D2102">
        <f t="shared" si="129"/>
        <v>2011</v>
      </c>
      <c r="E2102" t="str">
        <f t="shared" si="130"/>
        <v>Jun-2011</v>
      </c>
      <c r="F2102" s="12">
        <f t="shared" si="131"/>
        <v>6.36</v>
      </c>
    </row>
    <row r="2103" spans="1:6" x14ac:dyDescent="0.25">
      <c r="A2103" s="1">
        <v>40731</v>
      </c>
      <c r="B2103">
        <v>4.5999999999999996</v>
      </c>
      <c r="C2103" s="11">
        <f t="shared" si="128"/>
        <v>4.5999999999999999E-2</v>
      </c>
      <c r="D2103">
        <f t="shared" si="129"/>
        <v>2011</v>
      </c>
      <c r="E2103" t="str">
        <f t="shared" si="130"/>
        <v>Jul-2011</v>
      </c>
      <c r="F2103" s="12">
        <f t="shared" si="131"/>
        <v>6.36</v>
      </c>
    </row>
    <row r="2104" spans="1:6" x14ac:dyDescent="0.25">
      <c r="A2104" s="1">
        <v>40738</v>
      </c>
      <c r="B2104">
        <v>4.51</v>
      </c>
      <c r="C2104" s="11">
        <f t="shared" si="128"/>
        <v>4.5100000000000001E-2</v>
      </c>
      <c r="D2104">
        <f t="shared" si="129"/>
        <v>2011</v>
      </c>
      <c r="E2104" t="str">
        <f t="shared" si="130"/>
        <v>Jul-2011</v>
      </c>
      <c r="F2104" s="12">
        <f t="shared" si="131"/>
        <v>6.36</v>
      </c>
    </row>
    <row r="2105" spans="1:6" x14ac:dyDescent="0.25">
      <c r="A2105" s="1">
        <v>40745</v>
      </c>
      <c r="B2105">
        <v>4.5199999999999996</v>
      </c>
      <c r="C2105" s="11">
        <f t="shared" si="128"/>
        <v>4.5199999999999997E-2</v>
      </c>
      <c r="D2105">
        <f t="shared" si="129"/>
        <v>2011</v>
      </c>
      <c r="E2105" t="str">
        <f t="shared" si="130"/>
        <v>Jul-2011</v>
      </c>
      <c r="F2105" s="12">
        <f t="shared" si="131"/>
        <v>6.36</v>
      </c>
    </row>
    <row r="2106" spans="1:6" x14ac:dyDescent="0.25">
      <c r="A2106" s="1">
        <v>40752</v>
      </c>
      <c r="B2106">
        <v>4.55</v>
      </c>
      <c r="C2106" s="11">
        <f t="shared" si="128"/>
        <v>4.5499999999999999E-2</v>
      </c>
      <c r="D2106">
        <f t="shared" si="129"/>
        <v>2011</v>
      </c>
      <c r="E2106" t="str">
        <f t="shared" si="130"/>
        <v>Jul-2011</v>
      </c>
      <c r="F2106" s="12">
        <f t="shared" si="131"/>
        <v>6.36</v>
      </c>
    </row>
    <row r="2107" spans="1:6" x14ac:dyDescent="0.25">
      <c r="A2107" s="1">
        <v>40759</v>
      </c>
      <c r="B2107">
        <v>4.3899999999999997</v>
      </c>
      <c r="C2107" s="11">
        <f t="shared" si="128"/>
        <v>4.3899999999999995E-2</v>
      </c>
      <c r="D2107">
        <f t="shared" si="129"/>
        <v>2011</v>
      </c>
      <c r="E2107" t="str">
        <f t="shared" si="130"/>
        <v>Aug-2011</v>
      </c>
      <c r="F2107" s="12">
        <f t="shared" si="131"/>
        <v>6.36</v>
      </c>
    </row>
    <row r="2108" spans="1:6" x14ac:dyDescent="0.25">
      <c r="A2108" s="1">
        <v>40766</v>
      </c>
      <c r="B2108">
        <v>4.32</v>
      </c>
      <c r="C2108" s="11">
        <f t="shared" si="128"/>
        <v>4.3200000000000002E-2</v>
      </c>
      <c r="D2108">
        <f t="shared" si="129"/>
        <v>2011</v>
      </c>
      <c r="E2108" t="str">
        <f t="shared" si="130"/>
        <v>Aug-2011</v>
      </c>
      <c r="F2108" s="12">
        <f t="shared" si="131"/>
        <v>6.36</v>
      </c>
    </row>
    <row r="2109" spans="1:6" x14ac:dyDescent="0.25">
      <c r="A2109" s="1">
        <v>40773</v>
      </c>
      <c r="B2109">
        <v>4.1500000000000004</v>
      </c>
      <c r="C2109" s="11">
        <f t="shared" si="128"/>
        <v>4.1500000000000002E-2</v>
      </c>
      <c r="D2109">
        <f t="shared" si="129"/>
        <v>2011</v>
      </c>
      <c r="E2109" t="str">
        <f t="shared" si="130"/>
        <v>Aug-2011</v>
      </c>
      <c r="F2109" s="12">
        <f t="shared" si="131"/>
        <v>6.36</v>
      </c>
    </row>
    <row r="2110" spans="1:6" x14ac:dyDescent="0.25">
      <c r="A2110" s="1">
        <v>40780</v>
      </c>
      <c r="B2110">
        <v>4.22</v>
      </c>
      <c r="C2110" s="11">
        <f t="shared" si="128"/>
        <v>4.2199999999999994E-2</v>
      </c>
      <c r="D2110">
        <f t="shared" si="129"/>
        <v>2011</v>
      </c>
      <c r="E2110" t="str">
        <f t="shared" si="130"/>
        <v>Aug-2011</v>
      </c>
      <c r="F2110" s="12">
        <f t="shared" si="131"/>
        <v>6.36</v>
      </c>
    </row>
    <row r="2111" spans="1:6" x14ac:dyDescent="0.25">
      <c r="A2111" s="1">
        <v>40787</v>
      </c>
      <c r="B2111">
        <v>4.22</v>
      </c>
      <c r="C2111" s="11">
        <f t="shared" si="128"/>
        <v>4.2199999999999994E-2</v>
      </c>
      <c r="D2111">
        <f t="shared" si="129"/>
        <v>2011</v>
      </c>
      <c r="E2111" t="str">
        <f t="shared" si="130"/>
        <v>Sep-2011</v>
      </c>
      <c r="F2111" s="12">
        <f t="shared" si="131"/>
        <v>6.36</v>
      </c>
    </row>
    <row r="2112" spans="1:6" x14ac:dyDescent="0.25">
      <c r="A2112" s="1">
        <v>40794</v>
      </c>
      <c r="B2112">
        <v>4.12</v>
      </c>
      <c r="C2112" s="11">
        <f t="shared" si="128"/>
        <v>4.1200000000000001E-2</v>
      </c>
      <c r="D2112">
        <f t="shared" si="129"/>
        <v>2011</v>
      </c>
      <c r="E2112" t="str">
        <f t="shared" si="130"/>
        <v>Sep-2011</v>
      </c>
      <c r="F2112" s="12">
        <f t="shared" si="131"/>
        <v>6.36</v>
      </c>
    </row>
    <row r="2113" spans="1:6" x14ac:dyDescent="0.25">
      <c r="A2113" s="1">
        <v>40801</v>
      </c>
      <c r="B2113">
        <v>4.09</v>
      </c>
      <c r="C2113" s="11">
        <f t="shared" si="128"/>
        <v>4.0899999999999999E-2</v>
      </c>
      <c r="D2113">
        <f t="shared" si="129"/>
        <v>2011</v>
      </c>
      <c r="E2113" t="str">
        <f t="shared" si="130"/>
        <v>Sep-2011</v>
      </c>
      <c r="F2113" s="12">
        <f t="shared" si="131"/>
        <v>6.36</v>
      </c>
    </row>
    <row r="2114" spans="1:6" x14ac:dyDescent="0.25">
      <c r="A2114" s="1">
        <v>40808</v>
      </c>
      <c r="B2114">
        <v>4.09</v>
      </c>
      <c r="C2114" s="11">
        <f t="shared" ref="C2114:C2177" si="132">B2114/100</f>
        <v>4.0899999999999999E-2</v>
      </c>
      <c r="D2114">
        <f t="shared" ref="D2114:D2177" si="133">YEAR(A2114)</f>
        <v>2011</v>
      </c>
      <c r="E2114" t="str">
        <f t="shared" ref="E2114:E2177" si="134">TEXT(A2114,"MMM-YYYY")</f>
        <v>Sep-2011</v>
      </c>
      <c r="F2114" s="12">
        <f t="shared" ref="F2114:F2177" si="135">$H$2</f>
        <v>6.36</v>
      </c>
    </row>
    <row r="2115" spans="1:6" x14ac:dyDescent="0.25">
      <c r="A2115" s="1">
        <v>40815</v>
      </c>
      <c r="B2115">
        <v>4.01</v>
      </c>
      <c r="C2115" s="11">
        <f t="shared" si="132"/>
        <v>4.0099999999999997E-2</v>
      </c>
      <c r="D2115">
        <f t="shared" si="133"/>
        <v>2011</v>
      </c>
      <c r="E2115" t="str">
        <f t="shared" si="134"/>
        <v>Sep-2011</v>
      </c>
      <c r="F2115" s="12">
        <f t="shared" si="135"/>
        <v>6.36</v>
      </c>
    </row>
    <row r="2116" spans="1:6" x14ac:dyDescent="0.25">
      <c r="A2116" s="1">
        <v>40822</v>
      </c>
      <c r="B2116">
        <v>3.94</v>
      </c>
      <c r="C2116" s="11">
        <f t="shared" si="132"/>
        <v>3.9399999999999998E-2</v>
      </c>
      <c r="D2116">
        <f t="shared" si="133"/>
        <v>2011</v>
      </c>
      <c r="E2116" t="str">
        <f t="shared" si="134"/>
        <v>Oct-2011</v>
      </c>
      <c r="F2116" s="12">
        <f t="shared" si="135"/>
        <v>6.36</v>
      </c>
    </row>
    <row r="2117" spans="1:6" x14ac:dyDescent="0.25">
      <c r="A2117" s="1">
        <v>40829</v>
      </c>
      <c r="B2117">
        <v>4.12</v>
      </c>
      <c r="C2117" s="11">
        <f t="shared" si="132"/>
        <v>4.1200000000000001E-2</v>
      </c>
      <c r="D2117">
        <f t="shared" si="133"/>
        <v>2011</v>
      </c>
      <c r="E2117" t="str">
        <f t="shared" si="134"/>
        <v>Oct-2011</v>
      </c>
      <c r="F2117" s="12">
        <f t="shared" si="135"/>
        <v>6.36</v>
      </c>
    </row>
    <row r="2118" spans="1:6" x14ac:dyDescent="0.25">
      <c r="A2118" s="1">
        <v>40836</v>
      </c>
      <c r="B2118">
        <v>4.1100000000000003</v>
      </c>
      <c r="C2118" s="11">
        <f t="shared" si="132"/>
        <v>4.1100000000000005E-2</v>
      </c>
      <c r="D2118">
        <f t="shared" si="133"/>
        <v>2011</v>
      </c>
      <c r="E2118" t="str">
        <f t="shared" si="134"/>
        <v>Oct-2011</v>
      </c>
      <c r="F2118" s="12">
        <f t="shared" si="135"/>
        <v>6.36</v>
      </c>
    </row>
    <row r="2119" spans="1:6" x14ac:dyDescent="0.25">
      <c r="A2119" s="1">
        <v>40843</v>
      </c>
      <c r="B2119">
        <v>4.0999999999999996</v>
      </c>
      <c r="C2119" s="11">
        <f t="shared" si="132"/>
        <v>4.0999999999999995E-2</v>
      </c>
      <c r="D2119">
        <f t="shared" si="133"/>
        <v>2011</v>
      </c>
      <c r="E2119" t="str">
        <f t="shared" si="134"/>
        <v>Oct-2011</v>
      </c>
      <c r="F2119" s="12">
        <f t="shared" si="135"/>
        <v>6.36</v>
      </c>
    </row>
    <row r="2120" spans="1:6" x14ac:dyDescent="0.25">
      <c r="A2120" s="1">
        <v>40850</v>
      </c>
      <c r="B2120">
        <v>4</v>
      </c>
      <c r="C2120" s="11">
        <f t="shared" si="132"/>
        <v>0.04</v>
      </c>
      <c r="D2120">
        <f t="shared" si="133"/>
        <v>2011</v>
      </c>
      <c r="E2120" t="str">
        <f t="shared" si="134"/>
        <v>Nov-2011</v>
      </c>
      <c r="F2120" s="12">
        <f t="shared" si="135"/>
        <v>6.36</v>
      </c>
    </row>
    <row r="2121" spans="1:6" x14ac:dyDescent="0.25">
      <c r="A2121" s="1">
        <v>40857</v>
      </c>
      <c r="B2121">
        <v>3.99</v>
      </c>
      <c r="C2121" s="11">
        <f t="shared" si="132"/>
        <v>3.9900000000000005E-2</v>
      </c>
      <c r="D2121">
        <f t="shared" si="133"/>
        <v>2011</v>
      </c>
      <c r="E2121" t="str">
        <f t="shared" si="134"/>
        <v>Nov-2011</v>
      </c>
      <c r="F2121" s="12">
        <f t="shared" si="135"/>
        <v>6.36</v>
      </c>
    </row>
    <row r="2122" spans="1:6" x14ac:dyDescent="0.25">
      <c r="A2122" s="1">
        <v>40864</v>
      </c>
      <c r="B2122">
        <v>4</v>
      </c>
      <c r="C2122" s="11">
        <f t="shared" si="132"/>
        <v>0.04</v>
      </c>
      <c r="D2122">
        <f t="shared" si="133"/>
        <v>2011</v>
      </c>
      <c r="E2122" t="str">
        <f t="shared" si="134"/>
        <v>Nov-2011</v>
      </c>
      <c r="F2122" s="12">
        <f t="shared" si="135"/>
        <v>6.36</v>
      </c>
    </row>
    <row r="2123" spans="1:6" x14ac:dyDescent="0.25">
      <c r="A2123" s="1">
        <v>40870</v>
      </c>
      <c r="B2123">
        <v>3.98</v>
      </c>
      <c r="C2123" s="11">
        <f t="shared" si="132"/>
        <v>3.9800000000000002E-2</v>
      </c>
      <c r="D2123">
        <f t="shared" si="133"/>
        <v>2011</v>
      </c>
      <c r="E2123" t="str">
        <f t="shared" si="134"/>
        <v>Nov-2011</v>
      </c>
      <c r="F2123" s="12">
        <f t="shared" si="135"/>
        <v>6.36</v>
      </c>
    </row>
    <row r="2124" spans="1:6" x14ac:dyDescent="0.25">
      <c r="A2124" s="1">
        <v>40878</v>
      </c>
      <c r="B2124">
        <v>4</v>
      </c>
      <c r="C2124" s="11">
        <f t="shared" si="132"/>
        <v>0.04</v>
      </c>
      <c r="D2124">
        <f t="shared" si="133"/>
        <v>2011</v>
      </c>
      <c r="E2124" t="str">
        <f t="shared" si="134"/>
        <v>Dec-2011</v>
      </c>
      <c r="F2124" s="12">
        <f t="shared" si="135"/>
        <v>6.36</v>
      </c>
    </row>
    <row r="2125" spans="1:6" x14ac:dyDescent="0.25">
      <c r="A2125" s="1">
        <v>40885</v>
      </c>
      <c r="B2125">
        <v>3.99</v>
      </c>
      <c r="C2125" s="11">
        <f t="shared" si="132"/>
        <v>3.9900000000000005E-2</v>
      </c>
      <c r="D2125">
        <f t="shared" si="133"/>
        <v>2011</v>
      </c>
      <c r="E2125" t="str">
        <f t="shared" si="134"/>
        <v>Dec-2011</v>
      </c>
      <c r="F2125" s="12">
        <f t="shared" si="135"/>
        <v>6.36</v>
      </c>
    </row>
    <row r="2126" spans="1:6" x14ac:dyDescent="0.25">
      <c r="A2126" s="1">
        <v>40892</v>
      </c>
      <c r="B2126">
        <v>3.94</v>
      </c>
      <c r="C2126" s="11">
        <f t="shared" si="132"/>
        <v>3.9399999999999998E-2</v>
      </c>
      <c r="D2126">
        <f t="shared" si="133"/>
        <v>2011</v>
      </c>
      <c r="E2126" t="str">
        <f t="shared" si="134"/>
        <v>Dec-2011</v>
      </c>
      <c r="F2126" s="12">
        <f t="shared" si="135"/>
        <v>6.36</v>
      </c>
    </row>
    <row r="2127" spans="1:6" x14ac:dyDescent="0.25">
      <c r="A2127" s="1">
        <v>40899</v>
      </c>
      <c r="B2127">
        <v>3.91</v>
      </c>
      <c r="C2127" s="11">
        <f t="shared" si="132"/>
        <v>3.9100000000000003E-2</v>
      </c>
      <c r="D2127">
        <f t="shared" si="133"/>
        <v>2011</v>
      </c>
      <c r="E2127" t="str">
        <f t="shared" si="134"/>
        <v>Dec-2011</v>
      </c>
      <c r="F2127" s="12">
        <f t="shared" si="135"/>
        <v>6.36</v>
      </c>
    </row>
    <row r="2128" spans="1:6" x14ac:dyDescent="0.25">
      <c r="A2128" s="1">
        <v>40906</v>
      </c>
      <c r="B2128">
        <v>3.95</v>
      </c>
      <c r="C2128" s="11">
        <f t="shared" si="132"/>
        <v>3.95E-2</v>
      </c>
      <c r="D2128">
        <f t="shared" si="133"/>
        <v>2011</v>
      </c>
      <c r="E2128" t="str">
        <f t="shared" si="134"/>
        <v>Dec-2011</v>
      </c>
      <c r="F2128" s="12">
        <f t="shared" si="135"/>
        <v>6.36</v>
      </c>
    </row>
    <row r="2129" spans="1:6" x14ac:dyDescent="0.25">
      <c r="A2129" s="1">
        <v>40913</v>
      </c>
      <c r="B2129">
        <v>3.91</v>
      </c>
      <c r="C2129" s="11">
        <f t="shared" si="132"/>
        <v>3.9100000000000003E-2</v>
      </c>
      <c r="D2129">
        <f t="shared" si="133"/>
        <v>2012</v>
      </c>
      <c r="E2129" t="str">
        <f t="shared" si="134"/>
        <v>Jan-2012</v>
      </c>
      <c r="F2129" s="12">
        <f t="shared" si="135"/>
        <v>6.36</v>
      </c>
    </row>
    <row r="2130" spans="1:6" x14ac:dyDescent="0.25">
      <c r="A2130" s="1">
        <v>40920</v>
      </c>
      <c r="B2130">
        <v>3.89</v>
      </c>
      <c r="C2130" s="11">
        <f t="shared" si="132"/>
        <v>3.8900000000000004E-2</v>
      </c>
      <c r="D2130">
        <f t="shared" si="133"/>
        <v>2012</v>
      </c>
      <c r="E2130" t="str">
        <f t="shared" si="134"/>
        <v>Jan-2012</v>
      </c>
      <c r="F2130" s="12">
        <f t="shared" si="135"/>
        <v>6.36</v>
      </c>
    </row>
    <row r="2131" spans="1:6" x14ac:dyDescent="0.25">
      <c r="A2131" s="1">
        <v>40927</v>
      </c>
      <c r="B2131">
        <v>3.88</v>
      </c>
      <c r="C2131" s="11">
        <f t="shared" si="132"/>
        <v>3.8800000000000001E-2</v>
      </c>
      <c r="D2131">
        <f t="shared" si="133"/>
        <v>2012</v>
      </c>
      <c r="E2131" t="str">
        <f t="shared" si="134"/>
        <v>Jan-2012</v>
      </c>
      <c r="F2131" s="12">
        <f t="shared" si="135"/>
        <v>6.36</v>
      </c>
    </row>
    <row r="2132" spans="1:6" x14ac:dyDescent="0.25">
      <c r="A2132" s="1">
        <v>40934</v>
      </c>
      <c r="B2132">
        <v>3.98</v>
      </c>
      <c r="C2132" s="11">
        <f t="shared" si="132"/>
        <v>3.9800000000000002E-2</v>
      </c>
      <c r="D2132">
        <f t="shared" si="133"/>
        <v>2012</v>
      </c>
      <c r="E2132" t="str">
        <f t="shared" si="134"/>
        <v>Jan-2012</v>
      </c>
      <c r="F2132" s="12">
        <f t="shared" si="135"/>
        <v>6.36</v>
      </c>
    </row>
    <row r="2133" spans="1:6" x14ac:dyDescent="0.25">
      <c r="A2133" s="1">
        <v>40941</v>
      </c>
      <c r="B2133">
        <v>3.87</v>
      </c>
      <c r="C2133" s="11">
        <f t="shared" si="132"/>
        <v>3.8699999999999998E-2</v>
      </c>
      <c r="D2133">
        <f t="shared" si="133"/>
        <v>2012</v>
      </c>
      <c r="E2133" t="str">
        <f t="shared" si="134"/>
        <v>Feb-2012</v>
      </c>
      <c r="F2133" s="12">
        <f t="shared" si="135"/>
        <v>6.36</v>
      </c>
    </row>
    <row r="2134" spans="1:6" x14ac:dyDescent="0.25">
      <c r="A2134" s="1">
        <v>40948</v>
      </c>
      <c r="B2134">
        <v>3.87</v>
      </c>
      <c r="C2134" s="11">
        <f t="shared" si="132"/>
        <v>3.8699999999999998E-2</v>
      </c>
      <c r="D2134">
        <f t="shared" si="133"/>
        <v>2012</v>
      </c>
      <c r="E2134" t="str">
        <f t="shared" si="134"/>
        <v>Feb-2012</v>
      </c>
      <c r="F2134" s="12">
        <f t="shared" si="135"/>
        <v>6.36</v>
      </c>
    </row>
    <row r="2135" spans="1:6" x14ac:dyDescent="0.25">
      <c r="A2135" s="1">
        <v>40955</v>
      </c>
      <c r="B2135">
        <v>3.87</v>
      </c>
      <c r="C2135" s="11">
        <f t="shared" si="132"/>
        <v>3.8699999999999998E-2</v>
      </c>
      <c r="D2135">
        <f t="shared" si="133"/>
        <v>2012</v>
      </c>
      <c r="E2135" t="str">
        <f t="shared" si="134"/>
        <v>Feb-2012</v>
      </c>
      <c r="F2135" s="12">
        <f t="shared" si="135"/>
        <v>6.36</v>
      </c>
    </row>
    <row r="2136" spans="1:6" x14ac:dyDescent="0.25">
      <c r="A2136" s="1">
        <v>40962</v>
      </c>
      <c r="B2136">
        <v>3.95</v>
      </c>
      <c r="C2136" s="11">
        <f t="shared" si="132"/>
        <v>3.95E-2</v>
      </c>
      <c r="D2136">
        <f t="shared" si="133"/>
        <v>2012</v>
      </c>
      <c r="E2136" t="str">
        <f t="shared" si="134"/>
        <v>Feb-2012</v>
      </c>
      <c r="F2136" s="12">
        <f t="shared" si="135"/>
        <v>6.36</v>
      </c>
    </row>
    <row r="2137" spans="1:6" x14ac:dyDescent="0.25">
      <c r="A2137" s="1">
        <v>40969</v>
      </c>
      <c r="B2137">
        <v>3.9</v>
      </c>
      <c r="C2137" s="11">
        <f t="shared" si="132"/>
        <v>3.9E-2</v>
      </c>
      <c r="D2137">
        <f t="shared" si="133"/>
        <v>2012</v>
      </c>
      <c r="E2137" t="str">
        <f t="shared" si="134"/>
        <v>Mar-2012</v>
      </c>
      <c r="F2137" s="12">
        <f t="shared" si="135"/>
        <v>6.36</v>
      </c>
    </row>
    <row r="2138" spans="1:6" x14ac:dyDescent="0.25">
      <c r="A2138" s="1">
        <v>40976</v>
      </c>
      <c r="B2138">
        <v>3.88</v>
      </c>
      <c r="C2138" s="11">
        <f t="shared" si="132"/>
        <v>3.8800000000000001E-2</v>
      </c>
      <c r="D2138">
        <f t="shared" si="133"/>
        <v>2012</v>
      </c>
      <c r="E2138" t="str">
        <f t="shared" si="134"/>
        <v>Mar-2012</v>
      </c>
      <c r="F2138" s="12">
        <f t="shared" si="135"/>
        <v>6.36</v>
      </c>
    </row>
    <row r="2139" spans="1:6" x14ac:dyDescent="0.25">
      <c r="A2139" s="1">
        <v>40983</v>
      </c>
      <c r="B2139">
        <v>3.92</v>
      </c>
      <c r="C2139" s="11">
        <f t="shared" si="132"/>
        <v>3.9199999999999999E-2</v>
      </c>
      <c r="D2139">
        <f t="shared" si="133"/>
        <v>2012</v>
      </c>
      <c r="E2139" t="str">
        <f t="shared" si="134"/>
        <v>Mar-2012</v>
      </c>
      <c r="F2139" s="12">
        <f t="shared" si="135"/>
        <v>6.36</v>
      </c>
    </row>
    <row r="2140" spans="1:6" x14ac:dyDescent="0.25">
      <c r="A2140" s="1">
        <v>40990</v>
      </c>
      <c r="B2140">
        <v>4.08</v>
      </c>
      <c r="C2140" s="11">
        <f t="shared" si="132"/>
        <v>4.0800000000000003E-2</v>
      </c>
      <c r="D2140">
        <f t="shared" si="133"/>
        <v>2012</v>
      </c>
      <c r="E2140" t="str">
        <f t="shared" si="134"/>
        <v>Mar-2012</v>
      </c>
      <c r="F2140" s="12">
        <f t="shared" si="135"/>
        <v>6.36</v>
      </c>
    </row>
    <row r="2141" spans="1:6" x14ac:dyDescent="0.25">
      <c r="A2141" s="1">
        <v>40997</v>
      </c>
      <c r="B2141">
        <v>3.99</v>
      </c>
      <c r="C2141" s="11">
        <f t="shared" si="132"/>
        <v>3.9900000000000005E-2</v>
      </c>
      <c r="D2141">
        <f t="shared" si="133"/>
        <v>2012</v>
      </c>
      <c r="E2141" t="str">
        <f t="shared" si="134"/>
        <v>Mar-2012</v>
      </c>
      <c r="F2141" s="12">
        <f t="shared" si="135"/>
        <v>6.36</v>
      </c>
    </row>
    <row r="2142" spans="1:6" x14ac:dyDescent="0.25">
      <c r="A2142" s="1">
        <v>41004</v>
      </c>
      <c r="B2142">
        <v>3.98</v>
      </c>
      <c r="C2142" s="11">
        <f t="shared" si="132"/>
        <v>3.9800000000000002E-2</v>
      </c>
      <c r="D2142">
        <f t="shared" si="133"/>
        <v>2012</v>
      </c>
      <c r="E2142" t="str">
        <f t="shared" si="134"/>
        <v>Apr-2012</v>
      </c>
      <c r="F2142" s="12">
        <f t="shared" si="135"/>
        <v>6.36</v>
      </c>
    </row>
    <row r="2143" spans="1:6" x14ac:dyDescent="0.25">
      <c r="A2143" s="1">
        <v>41011</v>
      </c>
      <c r="B2143">
        <v>3.88</v>
      </c>
      <c r="C2143" s="11">
        <f t="shared" si="132"/>
        <v>3.8800000000000001E-2</v>
      </c>
      <c r="D2143">
        <f t="shared" si="133"/>
        <v>2012</v>
      </c>
      <c r="E2143" t="str">
        <f t="shared" si="134"/>
        <v>Apr-2012</v>
      </c>
      <c r="F2143" s="12">
        <f t="shared" si="135"/>
        <v>6.36</v>
      </c>
    </row>
    <row r="2144" spans="1:6" x14ac:dyDescent="0.25">
      <c r="A2144" s="1">
        <v>41018</v>
      </c>
      <c r="B2144">
        <v>3.9</v>
      </c>
      <c r="C2144" s="11">
        <f t="shared" si="132"/>
        <v>3.9E-2</v>
      </c>
      <c r="D2144">
        <f t="shared" si="133"/>
        <v>2012</v>
      </c>
      <c r="E2144" t="str">
        <f t="shared" si="134"/>
        <v>Apr-2012</v>
      </c>
      <c r="F2144" s="12">
        <f t="shared" si="135"/>
        <v>6.36</v>
      </c>
    </row>
    <row r="2145" spans="1:6" x14ac:dyDescent="0.25">
      <c r="A2145" s="1">
        <v>41025</v>
      </c>
      <c r="B2145">
        <v>3.88</v>
      </c>
      <c r="C2145" s="11">
        <f t="shared" si="132"/>
        <v>3.8800000000000001E-2</v>
      </c>
      <c r="D2145">
        <f t="shared" si="133"/>
        <v>2012</v>
      </c>
      <c r="E2145" t="str">
        <f t="shared" si="134"/>
        <v>Apr-2012</v>
      </c>
      <c r="F2145" s="12">
        <f t="shared" si="135"/>
        <v>6.36</v>
      </c>
    </row>
    <row r="2146" spans="1:6" x14ac:dyDescent="0.25">
      <c r="A2146" s="1">
        <v>41032</v>
      </c>
      <c r="B2146">
        <v>3.84</v>
      </c>
      <c r="C2146" s="11">
        <f t="shared" si="132"/>
        <v>3.8399999999999997E-2</v>
      </c>
      <c r="D2146">
        <f t="shared" si="133"/>
        <v>2012</v>
      </c>
      <c r="E2146" t="str">
        <f t="shared" si="134"/>
        <v>May-2012</v>
      </c>
      <c r="F2146" s="12">
        <f t="shared" si="135"/>
        <v>6.36</v>
      </c>
    </row>
    <row r="2147" spans="1:6" x14ac:dyDescent="0.25">
      <c r="A2147" s="1">
        <v>41039</v>
      </c>
      <c r="B2147">
        <v>3.83</v>
      </c>
      <c r="C2147" s="11">
        <f t="shared" si="132"/>
        <v>3.8300000000000001E-2</v>
      </c>
      <c r="D2147">
        <f t="shared" si="133"/>
        <v>2012</v>
      </c>
      <c r="E2147" t="str">
        <f t="shared" si="134"/>
        <v>May-2012</v>
      </c>
      <c r="F2147" s="12">
        <f t="shared" si="135"/>
        <v>6.36</v>
      </c>
    </row>
    <row r="2148" spans="1:6" x14ac:dyDescent="0.25">
      <c r="A2148" s="1">
        <v>41046</v>
      </c>
      <c r="B2148">
        <v>3.79</v>
      </c>
      <c r="C2148" s="11">
        <f t="shared" si="132"/>
        <v>3.7900000000000003E-2</v>
      </c>
      <c r="D2148">
        <f t="shared" si="133"/>
        <v>2012</v>
      </c>
      <c r="E2148" t="str">
        <f t="shared" si="134"/>
        <v>May-2012</v>
      </c>
      <c r="F2148" s="12">
        <f t="shared" si="135"/>
        <v>6.36</v>
      </c>
    </row>
    <row r="2149" spans="1:6" x14ac:dyDescent="0.25">
      <c r="A2149" s="1">
        <v>41053</v>
      </c>
      <c r="B2149">
        <v>3.78</v>
      </c>
      <c r="C2149" s="11">
        <f t="shared" si="132"/>
        <v>3.78E-2</v>
      </c>
      <c r="D2149">
        <f t="shared" si="133"/>
        <v>2012</v>
      </c>
      <c r="E2149" t="str">
        <f t="shared" si="134"/>
        <v>May-2012</v>
      </c>
      <c r="F2149" s="12">
        <f t="shared" si="135"/>
        <v>6.36</v>
      </c>
    </row>
    <row r="2150" spans="1:6" x14ac:dyDescent="0.25">
      <c r="A2150" s="1">
        <v>41060</v>
      </c>
      <c r="B2150">
        <v>3.75</v>
      </c>
      <c r="C2150" s="11">
        <f t="shared" si="132"/>
        <v>3.7499999999999999E-2</v>
      </c>
      <c r="D2150">
        <f t="shared" si="133"/>
        <v>2012</v>
      </c>
      <c r="E2150" t="str">
        <f t="shared" si="134"/>
        <v>May-2012</v>
      </c>
      <c r="F2150" s="12">
        <f t="shared" si="135"/>
        <v>6.36</v>
      </c>
    </row>
    <row r="2151" spans="1:6" x14ac:dyDescent="0.25">
      <c r="A2151" s="1">
        <v>41067</v>
      </c>
      <c r="B2151">
        <v>3.67</v>
      </c>
      <c r="C2151" s="11">
        <f t="shared" si="132"/>
        <v>3.6699999999999997E-2</v>
      </c>
      <c r="D2151">
        <f t="shared" si="133"/>
        <v>2012</v>
      </c>
      <c r="E2151" t="str">
        <f t="shared" si="134"/>
        <v>Jun-2012</v>
      </c>
      <c r="F2151" s="12">
        <f t="shared" si="135"/>
        <v>6.36</v>
      </c>
    </row>
    <row r="2152" spans="1:6" x14ac:dyDescent="0.25">
      <c r="A2152" s="1">
        <v>41074</v>
      </c>
      <c r="B2152">
        <v>3.71</v>
      </c>
      <c r="C2152" s="11">
        <f t="shared" si="132"/>
        <v>3.7100000000000001E-2</v>
      </c>
      <c r="D2152">
        <f t="shared" si="133"/>
        <v>2012</v>
      </c>
      <c r="E2152" t="str">
        <f t="shared" si="134"/>
        <v>Jun-2012</v>
      </c>
      <c r="F2152" s="12">
        <f t="shared" si="135"/>
        <v>6.36</v>
      </c>
    </row>
    <row r="2153" spans="1:6" x14ac:dyDescent="0.25">
      <c r="A2153" s="1">
        <v>41081</v>
      </c>
      <c r="B2153">
        <v>3.66</v>
      </c>
      <c r="C2153" s="11">
        <f t="shared" si="132"/>
        <v>3.6600000000000001E-2</v>
      </c>
      <c r="D2153">
        <f t="shared" si="133"/>
        <v>2012</v>
      </c>
      <c r="E2153" t="str">
        <f t="shared" si="134"/>
        <v>Jun-2012</v>
      </c>
      <c r="F2153" s="12">
        <f t="shared" si="135"/>
        <v>6.36</v>
      </c>
    </row>
    <row r="2154" spans="1:6" x14ac:dyDescent="0.25">
      <c r="A2154" s="1">
        <v>41088</v>
      </c>
      <c r="B2154">
        <v>3.66</v>
      </c>
      <c r="C2154" s="11">
        <f t="shared" si="132"/>
        <v>3.6600000000000001E-2</v>
      </c>
      <c r="D2154">
        <f t="shared" si="133"/>
        <v>2012</v>
      </c>
      <c r="E2154" t="str">
        <f t="shared" si="134"/>
        <v>Jun-2012</v>
      </c>
      <c r="F2154" s="12">
        <f t="shared" si="135"/>
        <v>6.36</v>
      </c>
    </row>
    <row r="2155" spans="1:6" x14ac:dyDescent="0.25">
      <c r="A2155" s="1">
        <v>41095</v>
      </c>
      <c r="B2155">
        <v>3.62</v>
      </c>
      <c r="C2155" s="11">
        <f t="shared" si="132"/>
        <v>3.6200000000000003E-2</v>
      </c>
      <c r="D2155">
        <f t="shared" si="133"/>
        <v>2012</v>
      </c>
      <c r="E2155" t="str">
        <f t="shared" si="134"/>
        <v>Jul-2012</v>
      </c>
      <c r="F2155" s="12">
        <f t="shared" si="135"/>
        <v>6.36</v>
      </c>
    </row>
    <row r="2156" spans="1:6" x14ac:dyDescent="0.25">
      <c r="A2156" s="1">
        <v>41102</v>
      </c>
      <c r="B2156">
        <v>3.56</v>
      </c>
      <c r="C2156" s="11">
        <f t="shared" si="132"/>
        <v>3.56E-2</v>
      </c>
      <c r="D2156">
        <f t="shared" si="133"/>
        <v>2012</v>
      </c>
      <c r="E2156" t="str">
        <f t="shared" si="134"/>
        <v>Jul-2012</v>
      </c>
      <c r="F2156" s="12">
        <f t="shared" si="135"/>
        <v>6.36</v>
      </c>
    </row>
    <row r="2157" spans="1:6" x14ac:dyDescent="0.25">
      <c r="A2157" s="1">
        <v>41109</v>
      </c>
      <c r="B2157">
        <v>3.53</v>
      </c>
      <c r="C2157" s="11">
        <f t="shared" si="132"/>
        <v>3.5299999999999998E-2</v>
      </c>
      <c r="D2157">
        <f t="shared" si="133"/>
        <v>2012</v>
      </c>
      <c r="E2157" t="str">
        <f t="shared" si="134"/>
        <v>Jul-2012</v>
      </c>
      <c r="F2157" s="12">
        <f t="shared" si="135"/>
        <v>6.36</v>
      </c>
    </row>
    <row r="2158" spans="1:6" x14ac:dyDescent="0.25">
      <c r="A2158" s="1">
        <v>41116</v>
      </c>
      <c r="B2158">
        <v>3.49</v>
      </c>
      <c r="C2158" s="11">
        <f t="shared" si="132"/>
        <v>3.49E-2</v>
      </c>
      <c r="D2158">
        <f t="shared" si="133"/>
        <v>2012</v>
      </c>
      <c r="E2158" t="str">
        <f t="shared" si="134"/>
        <v>Jul-2012</v>
      </c>
      <c r="F2158" s="12">
        <f t="shared" si="135"/>
        <v>6.36</v>
      </c>
    </row>
    <row r="2159" spans="1:6" x14ac:dyDescent="0.25">
      <c r="A2159" s="1">
        <v>41123</v>
      </c>
      <c r="B2159">
        <v>3.55</v>
      </c>
      <c r="C2159" s="11">
        <f t="shared" si="132"/>
        <v>3.5499999999999997E-2</v>
      </c>
      <c r="D2159">
        <f t="shared" si="133"/>
        <v>2012</v>
      </c>
      <c r="E2159" t="str">
        <f t="shared" si="134"/>
        <v>Aug-2012</v>
      </c>
      <c r="F2159" s="12">
        <f t="shared" si="135"/>
        <v>6.36</v>
      </c>
    </row>
    <row r="2160" spans="1:6" x14ac:dyDescent="0.25">
      <c r="A2160" s="1">
        <v>41130</v>
      </c>
      <c r="B2160">
        <v>3.59</v>
      </c>
      <c r="C2160" s="11">
        <f t="shared" si="132"/>
        <v>3.5900000000000001E-2</v>
      </c>
      <c r="D2160">
        <f t="shared" si="133"/>
        <v>2012</v>
      </c>
      <c r="E2160" t="str">
        <f t="shared" si="134"/>
        <v>Aug-2012</v>
      </c>
      <c r="F2160" s="12">
        <f t="shared" si="135"/>
        <v>6.36</v>
      </c>
    </row>
    <row r="2161" spans="1:6" x14ac:dyDescent="0.25">
      <c r="A2161" s="1">
        <v>41137</v>
      </c>
      <c r="B2161">
        <v>3.62</v>
      </c>
      <c r="C2161" s="11">
        <f t="shared" si="132"/>
        <v>3.6200000000000003E-2</v>
      </c>
      <c r="D2161">
        <f t="shared" si="133"/>
        <v>2012</v>
      </c>
      <c r="E2161" t="str">
        <f t="shared" si="134"/>
        <v>Aug-2012</v>
      </c>
      <c r="F2161" s="12">
        <f t="shared" si="135"/>
        <v>6.36</v>
      </c>
    </row>
    <row r="2162" spans="1:6" x14ac:dyDescent="0.25">
      <c r="A2162" s="1">
        <v>41144</v>
      </c>
      <c r="B2162">
        <v>3.66</v>
      </c>
      <c r="C2162" s="11">
        <f t="shared" si="132"/>
        <v>3.6600000000000001E-2</v>
      </c>
      <c r="D2162">
        <f t="shared" si="133"/>
        <v>2012</v>
      </c>
      <c r="E2162" t="str">
        <f t="shared" si="134"/>
        <v>Aug-2012</v>
      </c>
      <c r="F2162" s="12">
        <f t="shared" si="135"/>
        <v>6.36</v>
      </c>
    </row>
    <row r="2163" spans="1:6" x14ac:dyDescent="0.25">
      <c r="A2163" s="1">
        <v>41151</v>
      </c>
      <c r="B2163">
        <v>3.59</v>
      </c>
      <c r="C2163" s="11">
        <f t="shared" si="132"/>
        <v>3.5900000000000001E-2</v>
      </c>
      <c r="D2163">
        <f t="shared" si="133"/>
        <v>2012</v>
      </c>
      <c r="E2163" t="str">
        <f t="shared" si="134"/>
        <v>Aug-2012</v>
      </c>
      <c r="F2163" s="12">
        <f t="shared" si="135"/>
        <v>6.36</v>
      </c>
    </row>
    <row r="2164" spans="1:6" x14ac:dyDescent="0.25">
      <c r="A2164" s="1">
        <v>41158</v>
      </c>
      <c r="B2164">
        <v>3.55</v>
      </c>
      <c r="C2164" s="11">
        <f t="shared" si="132"/>
        <v>3.5499999999999997E-2</v>
      </c>
      <c r="D2164">
        <f t="shared" si="133"/>
        <v>2012</v>
      </c>
      <c r="E2164" t="str">
        <f t="shared" si="134"/>
        <v>Sep-2012</v>
      </c>
      <c r="F2164" s="12">
        <f t="shared" si="135"/>
        <v>6.36</v>
      </c>
    </row>
    <row r="2165" spans="1:6" x14ac:dyDescent="0.25">
      <c r="A2165" s="1">
        <v>41165</v>
      </c>
      <c r="B2165">
        <v>3.55</v>
      </c>
      <c r="C2165" s="11">
        <f t="shared" si="132"/>
        <v>3.5499999999999997E-2</v>
      </c>
      <c r="D2165">
        <f t="shared" si="133"/>
        <v>2012</v>
      </c>
      <c r="E2165" t="str">
        <f t="shared" si="134"/>
        <v>Sep-2012</v>
      </c>
      <c r="F2165" s="12">
        <f t="shared" si="135"/>
        <v>6.36</v>
      </c>
    </row>
    <row r="2166" spans="1:6" x14ac:dyDescent="0.25">
      <c r="A2166" s="1">
        <v>41172</v>
      </c>
      <c r="B2166">
        <v>3.49</v>
      </c>
      <c r="C2166" s="11">
        <f t="shared" si="132"/>
        <v>3.49E-2</v>
      </c>
      <c r="D2166">
        <f t="shared" si="133"/>
        <v>2012</v>
      </c>
      <c r="E2166" t="str">
        <f t="shared" si="134"/>
        <v>Sep-2012</v>
      </c>
      <c r="F2166" s="12">
        <f t="shared" si="135"/>
        <v>6.36</v>
      </c>
    </row>
    <row r="2167" spans="1:6" x14ac:dyDescent="0.25">
      <c r="A2167" s="1">
        <v>41179</v>
      </c>
      <c r="B2167">
        <v>3.4</v>
      </c>
      <c r="C2167" s="11">
        <f t="shared" si="132"/>
        <v>3.4000000000000002E-2</v>
      </c>
      <c r="D2167">
        <f t="shared" si="133"/>
        <v>2012</v>
      </c>
      <c r="E2167" t="str">
        <f t="shared" si="134"/>
        <v>Sep-2012</v>
      </c>
      <c r="F2167" s="12">
        <f t="shared" si="135"/>
        <v>6.36</v>
      </c>
    </row>
    <row r="2168" spans="1:6" x14ac:dyDescent="0.25">
      <c r="A2168" s="1">
        <v>41186</v>
      </c>
      <c r="B2168">
        <v>3.36</v>
      </c>
      <c r="C2168" s="11">
        <f t="shared" si="132"/>
        <v>3.3599999999999998E-2</v>
      </c>
      <c r="D2168">
        <f t="shared" si="133"/>
        <v>2012</v>
      </c>
      <c r="E2168" t="str">
        <f t="shared" si="134"/>
        <v>Oct-2012</v>
      </c>
      <c r="F2168" s="12">
        <f t="shared" si="135"/>
        <v>6.36</v>
      </c>
    </row>
    <row r="2169" spans="1:6" x14ac:dyDescent="0.25">
      <c r="A2169" s="1">
        <v>41193</v>
      </c>
      <c r="B2169">
        <v>3.39</v>
      </c>
      <c r="C2169" s="11">
        <f t="shared" si="132"/>
        <v>3.39E-2</v>
      </c>
      <c r="D2169">
        <f t="shared" si="133"/>
        <v>2012</v>
      </c>
      <c r="E2169" t="str">
        <f t="shared" si="134"/>
        <v>Oct-2012</v>
      </c>
      <c r="F2169" s="12">
        <f t="shared" si="135"/>
        <v>6.36</v>
      </c>
    </row>
    <row r="2170" spans="1:6" x14ac:dyDescent="0.25">
      <c r="A2170" s="1">
        <v>41200</v>
      </c>
      <c r="B2170">
        <v>3.37</v>
      </c>
      <c r="C2170" s="11">
        <f t="shared" si="132"/>
        <v>3.3700000000000001E-2</v>
      </c>
      <c r="D2170">
        <f t="shared" si="133"/>
        <v>2012</v>
      </c>
      <c r="E2170" t="str">
        <f t="shared" si="134"/>
        <v>Oct-2012</v>
      </c>
      <c r="F2170" s="12">
        <f t="shared" si="135"/>
        <v>6.36</v>
      </c>
    </row>
    <row r="2171" spans="1:6" x14ac:dyDescent="0.25">
      <c r="A2171" s="1">
        <v>41207</v>
      </c>
      <c r="B2171">
        <v>3.41</v>
      </c>
      <c r="C2171" s="11">
        <f t="shared" si="132"/>
        <v>3.4099999999999998E-2</v>
      </c>
      <c r="D2171">
        <f t="shared" si="133"/>
        <v>2012</v>
      </c>
      <c r="E2171" t="str">
        <f t="shared" si="134"/>
        <v>Oct-2012</v>
      </c>
      <c r="F2171" s="12">
        <f t="shared" si="135"/>
        <v>6.36</v>
      </c>
    </row>
    <row r="2172" spans="1:6" x14ac:dyDescent="0.25">
      <c r="A2172" s="1">
        <v>41214</v>
      </c>
      <c r="B2172">
        <v>3.39</v>
      </c>
      <c r="C2172" s="11">
        <f t="shared" si="132"/>
        <v>3.39E-2</v>
      </c>
      <c r="D2172">
        <f t="shared" si="133"/>
        <v>2012</v>
      </c>
      <c r="E2172" t="str">
        <f t="shared" si="134"/>
        <v>Nov-2012</v>
      </c>
      <c r="F2172" s="12">
        <f t="shared" si="135"/>
        <v>6.36</v>
      </c>
    </row>
    <row r="2173" spans="1:6" x14ac:dyDescent="0.25">
      <c r="A2173" s="1">
        <v>41221</v>
      </c>
      <c r="B2173">
        <v>3.4</v>
      </c>
      <c r="C2173" s="11">
        <f t="shared" si="132"/>
        <v>3.4000000000000002E-2</v>
      </c>
      <c r="D2173">
        <f t="shared" si="133"/>
        <v>2012</v>
      </c>
      <c r="E2173" t="str">
        <f t="shared" si="134"/>
        <v>Nov-2012</v>
      </c>
      <c r="F2173" s="12">
        <f t="shared" si="135"/>
        <v>6.36</v>
      </c>
    </row>
    <row r="2174" spans="1:6" x14ac:dyDescent="0.25">
      <c r="A2174" s="1">
        <v>41228</v>
      </c>
      <c r="B2174">
        <v>3.34</v>
      </c>
      <c r="C2174" s="11">
        <f t="shared" si="132"/>
        <v>3.3399999999999999E-2</v>
      </c>
      <c r="D2174">
        <f t="shared" si="133"/>
        <v>2012</v>
      </c>
      <c r="E2174" t="str">
        <f t="shared" si="134"/>
        <v>Nov-2012</v>
      </c>
      <c r="F2174" s="12">
        <f t="shared" si="135"/>
        <v>6.36</v>
      </c>
    </row>
    <row r="2175" spans="1:6" x14ac:dyDescent="0.25">
      <c r="A2175" s="1">
        <v>41234</v>
      </c>
      <c r="B2175">
        <v>3.31</v>
      </c>
      <c r="C2175" s="11">
        <f t="shared" si="132"/>
        <v>3.3099999999999997E-2</v>
      </c>
      <c r="D2175">
        <f t="shared" si="133"/>
        <v>2012</v>
      </c>
      <c r="E2175" t="str">
        <f t="shared" si="134"/>
        <v>Nov-2012</v>
      </c>
      <c r="F2175" s="12">
        <f t="shared" si="135"/>
        <v>6.36</v>
      </c>
    </row>
    <row r="2176" spans="1:6" x14ac:dyDescent="0.25">
      <c r="A2176" s="1">
        <v>41242</v>
      </c>
      <c r="B2176">
        <v>3.32</v>
      </c>
      <c r="C2176" s="11">
        <f t="shared" si="132"/>
        <v>3.32E-2</v>
      </c>
      <c r="D2176">
        <f t="shared" si="133"/>
        <v>2012</v>
      </c>
      <c r="E2176" t="str">
        <f t="shared" si="134"/>
        <v>Nov-2012</v>
      </c>
      <c r="F2176" s="12">
        <f t="shared" si="135"/>
        <v>6.36</v>
      </c>
    </row>
    <row r="2177" spans="1:6" x14ac:dyDescent="0.25">
      <c r="A2177" s="1">
        <v>41249</v>
      </c>
      <c r="B2177">
        <v>3.34</v>
      </c>
      <c r="C2177" s="11">
        <f t="shared" si="132"/>
        <v>3.3399999999999999E-2</v>
      </c>
      <c r="D2177">
        <f t="shared" si="133"/>
        <v>2012</v>
      </c>
      <c r="E2177" t="str">
        <f t="shared" si="134"/>
        <v>Dec-2012</v>
      </c>
      <c r="F2177" s="12">
        <f t="shared" si="135"/>
        <v>6.36</v>
      </c>
    </row>
    <row r="2178" spans="1:6" x14ac:dyDescent="0.25">
      <c r="A2178" s="1">
        <v>41256</v>
      </c>
      <c r="B2178">
        <v>3.32</v>
      </c>
      <c r="C2178" s="11">
        <f t="shared" ref="C2178:C2241" si="136">B2178/100</f>
        <v>3.32E-2</v>
      </c>
      <c r="D2178">
        <f t="shared" ref="D2178:D2241" si="137">YEAR(A2178)</f>
        <v>2012</v>
      </c>
      <c r="E2178" t="str">
        <f t="shared" ref="E2178:E2241" si="138">TEXT(A2178,"MMM-YYYY")</f>
        <v>Dec-2012</v>
      </c>
      <c r="F2178" s="12">
        <f t="shared" ref="F2178:F2241" si="139">$H$2</f>
        <v>6.36</v>
      </c>
    </row>
    <row r="2179" spans="1:6" x14ac:dyDescent="0.25">
      <c r="A2179" s="1">
        <v>41263</v>
      </c>
      <c r="B2179">
        <v>3.37</v>
      </c>
      <c r="C2179" s="11">
        <f t="shared" si="136"/>
        <v>3.3700000000000001E-2</v>
      </c>
      <c r="D2179">
        <f t="shared" si="137"/>
        <v>2012</v>
      </c>
      <c r="E2179" t="str">
        <f t="shared" si="138"/>
        <v>Dec-2012</v>
      </c>
      <c r="F2179" s="12">
        <f t="shared" si="139"/>
        <v>6.36</v>
      </c>
    </row>
    <row r="2180" spans="1:6" x14ac:dyDescent="0.25">
      <c r="A2180" s="1">
        <v>41270</v>
      </c>
      <c r="B2180">
        <v>3.35</v>
      </c>
      <c r="C2180" s="11">
        <f t="shared" si="136"/>
        <v>3.3500000000000002E-2</v>
      </c>
      <c r="D2180">
        <f t="shared" si="137"/>
        <v>2012</v>
      </c>
      <c r="E2180" t="str">
        <f t="shared" si="138"/>
        <v>Dec-2012</v>
      </c>
      <c r="F2180" s="12">
        <f t="shared" si="139"/>
        <v>6.36</v>
      </c>
    </row>
    <row r="2181" spans="1:6" x14ac:dyDescent="0.25">
      <c r="A2181" s="1">
        <v>41277</v>
      </c>
      <c r="B2181">
        <v>3.34</v>
      </c>
      <c r="C2181" s="11">
        <f t="shared" si="136"/>
        <v>3.3399999999999999E-2</v>
      </c>
      <c r="D2181">
        <f t="shared" si="137"/>
        <v>2013</v>
      </c>
      <c r="E2181" t="str">
        <f t="shared" si="138"/>
        <v>Jan-2013</v>
      </c>
      <c r="F2181" s="12">
        <f t="shared" si="139"/>
        <v>6.36</v>
      </c>
    </row>
    <row r="2182" spans="1:6" x14ac:dyDescent="0.25">
      <c r="A2182" s="1">
        <v>41284</v>
      </c>
      <c r="B2182">
        <v>3.4</v>
      </c>
      <c r="C2182" s="11">
        <f t="shared" si="136"/>
        <v>3.4000000000000002E-2</v>
      </c>
      <c r="D2182">
        <f t="shared" si="137"/>
        <v>2013</v>
      </c>
      <c r="E2182" t="str">
        <f t="shared" si="138"/>
        <v>Jan-2013</v>
      </c>
      <c r="F2182" s="12">
        <f t="shared" si="139"/>
        <v>6.36</v>
      </c>
    </row>
    <row r="2183" spans="1:6" x14ac:dyDescent="0.25">
      <c r="A2183" s="1">
        <v>41291</v>
      </c>
      <c r="B2183">
        <v>3.38</v>
      </c>
      <c r="C2183" s="11">
        <f t="shared" si="136"/>
        <v>3.3799999999999997E-2</v>
      </c>
      <c r="D2183">
        <f t="shared" si="137"/>
        <v>2013</v>
      </c>
      <c r="E2183" t="str">
        <f t="shared" si="138"/>
        <v>Jan-2013</v>
      </c>
      <c r="F2183" s="12">
        <f t="shared" si="139"/>
        <v>6.36</v>
      </c>
    </row>
    <row r="2184" spans="1:6" x14ac:dyDescent="0.25">
      <c r="A2184" s="1">
        <v>41298</v>
      </c>
      <c r="B2184">
        <v>3.42</v>
      </c>
      <c r="C2184" s="11">
        <f t="shared" si="136"/>
        <v>3.4200000000000001E-2</v>
      </c>
      <c r="D2184">
        <f t="shared" si="137"/>
        <v>2013</v>
      </c>
      <c r="E2184" t="str">
        <f t="shared" si="138"/>
        <v>Jan-2013</v>
      </c>
      <c r="F2184" s="12">
        <f t="shared" si="139"/>
        <v>6.36</v>
      </c>
    </row>
    <row r="2185" spans="1:6" x14ac:dyDescent="0.25">
      <c r="A2185" s="1">
        <v>41305</v>
      </c>
      <c r="B2185">
        <v>3.53</v>
      </c>
      <c r="C2185" s="11">
        <f t="shared" si="136"/>
        <v>3.5299999999999998E-2</v>
      </c>
      <c r="D2185">
        <f t="shared" si="137"/>
        <v>2013</v>
      </c>
      <c r="E2185" t="str">
        <f t="shared" si="138"/>
        <v>Jan-2013</v>
      </c>
      <c r="F2185" s="12">
        <f t="shared" si="139"/>
        <v>6.36</v>
      </c>
    </row>
    <row r="2186" spans="1:6" x14ac:dyDescent="0.25">
      <c r="A2186" s="1">
        <v>41312</v>
      </c>
      <c r="B2186">
        <v>3.53</v>
      </c>
      <c r="C2186" s="11">
        <f t="shared" si="136"/>
        <v>3.5299999999999998E-2</v>
      </c>
      <c r="D2186">
        <f t="shared" si="137"/>
        <v>2013</v>
      </c>
      <c r="E2186" t="str">
        <f t="shared" si="138"/>
        <v>Feb-2013</v>
      </c>
      <c r="F2186" s="12">
        <f t="shared" si="139"/>
        <v>6.36</v>
      </c>
    </row>
    <row r="2187" spans="1:6" x14ac:dyDescent="0.25">
      <c r="A2187" s="1">
        <v>41319</v>
      </c>
      <c r="B2187">
        <v>3.53</v>
      </c>
      <c r="C2187" s="11">
        <f t="shared" si="136"/>
        <v>3.5299999999999998E-2</v>
      </c>
      <c r="D2187">
        <f t="shared" si="137"/>
        <v>2013</v>
      </c>
      <c r="E2187" t="str">
        <f t="shared" si="138"/>
        <v>Feb-2013</v>
      </c>
      <c r="F2187" s="12">
        <f t="shared" si="139"/>
        <v>6.36</v>
      </c>
    </row>
    <row r="2188" spans="1:6" x14ac:dyDescent="0.25">
      <c r="A2188" s="1">
        <v>41326</v>
      </c>
      <c r="B2188">
        <v>3.56</v>
      </c>
      <c r="C2188" s="11">
        <f t="shared" si="136"/>
        <v>3.56E-2</v>
      </c>
      <c r="D2188">
        <f t="shared" si="137"/>
        <v>2013</v>
      </c>
      <c r="E2188" t="str">
        <f t="shared" si="138"/>
        <v>Feb-2013</v>
      </c>
      <c r="F2188" s="12">
        <f t="shared" si="139"/>
        <v>6.36</v>
      </c>
    </row>
    <row r="2189" spans="1:6" x14ac:dyDescent="0.25">
      <c r="A2189" s="1">
        <v>41333</v>
      </c>
      <c r="B2189">
        <v>3.51</v>
      </c>
      <c r="C2189" s="11">
        <f t="shared" si="136"/>
        <v>3.5099999999999999E-2</v>
      </c>
      <c r="D2189">
        <f t="shared" si="137"/>
        <v>2013</v>
      </c>
      <c r="E2189" t="str">
        <f t="shared" si="138"/>
        <v>Feb-2013</v>
      </c>
      <c r="F2189" s="12">
        <f t="shared" si="139"/>
        <v>6.36</v>
      </c>
    </row>
    <row r="2190" spans="1:6" x14ac:dyDescent="0.25">
      <c r="A2190" s="1">
        <v>41340</v>
      </c>
      <c r="B2190">
        <v>3.52</v>
      </c>
      <c r="C2190" s="11">
        <f t="shared" si="136"/>
        <v>3.5200000000000002E-2</v>
      </c>
      <c r="D2190">
        <f t="shared" si="137"/>
        <v>2013</v>
      </c>
      <c r="E2190" t="str">
        <f t="shared" si="138"/>
        <v>Mar-2013</v>
      </c>
      <c r="F2190" s="12">
        <f t="shared" si="139"/>
        <v>6.36</v>
      </c>
    </row>
    <row r="2191" spans="1:6" x14ac:dyDescent="0.25">
      <c r="A2191" s="1">
        <v>41347</v>
      </c>
      <c r="B2191">
        <v>3.63</v>
      </c>
      <c r="C2191" s="11">
        <f t="shared" si="136"/>
        <v>3.6299999999999999E-2</v>
      </c>
      <c r="D2191">
        <f t="shared" si="137"/>
        <v>2013</v>
      </c>
      <c r="E2191" t="str">
        <f t="shared" si="138"/>
        <v>Mar-2013</v>
      </c>
      <c r="F2191" s="12">
        <f t="shared" si="139"/>
        <v>6.36</v>
      </c>
    </row>
    <row r="2192" spans="1:6" x14ac:dyDescent="0.25">
      <c r="A2192" s="1">
        <v>41354</v>
      </c>
      <c r="B2192">
        <v>3.54</v>
      </c>
      <c r="C2192" s="11">
        <f t="shared" si="136"/>
        <v>3.5400000000000001E-2</v>
      </c>
      <c r="D2192">
        <f t="shared" si="137"/>
        <v>2013</v>
      </c>
      <c r="E2192" t="str">
        <f t="shared" si="138"/>
        <v>Mar-2013</v>
      </c>
      <c r="F2192" s="12">
        <f t="shared" si="139"/>
        <v>6.36</v>
      </c>
    </row>
    <row r="2193" spans="1:6" x14ac:dyDescent="0.25">
      <c r="A2193" s="1">
        <v>41361</v>
      </c>
      <c r="B2193">
        <v>3.57</v>
      </c>
      <c r="C2193" s="11">
        <f t="shared" si="136"/>
        <v>3.5699999999999996E-2</v>
      </c>
      <c r="D2193">
        <f t="shared" si="137"/>
        <v>2013</v>
      </c>
      <c r="E2193" t="str">
        <f t="shared" si="138"/>
        <v>Mar-2013</v>
      </c>
      <c r="F2193" s="12">
        <f t="shared" si="139"/>
        <v>6.36</v>
      </c>
    </row>
    <row r="2194" spans="1:6" x14ac:dyDescent="0.25">
      <c r="A2194" s="1">
        <v>41368</v>
      </c>
      <c r="B2194">
        <v>3.54</v>
      </c>
      <c r="C2194" s="11">
        <f t="shared" si="136"/>
        <v>3.5400000000000001E-2</v>
      </c>
      <c r="D2194">
        <f t="shared" si="137"/>
        <v>2013</v>
      </c>
      <c r="E2194" t="str">
        <f t="shared" si="138"/>
        <v>Apr-2013</v>
      </c>
      <c r="F2194" s="12">
        <f t="shared" si="139"/>
        <v>6.36</v>
      </c>
    </row>
    <row r="2195" spans="1:6" x14ac:dyDescent="0.25">
      <c r="A2195" s="1">
        <v>41375</v>
      </c>
      <c r="B2195">
        <v>3.43</v>
      </c>
      <c r="C2195" s="11">
        <f t="shared" si="136"/>
        <v>3.4300000000000004E-2</v>
      </c>
      <c r="D2195">
        <f t="shared" si="137"/>
        <v>2013</v>
      </c>
      <c r="E2195" t="str">
        <f t="shared" si="138"/>
        <v>Apr-2013</v>
      </c>
      <c r="F2195" s="12">
        <f t="shared" si="139"/>
        <v>6.36</v>
      </c>
    </row>
    <row r="2196" spans="1:6" x14ac:dyDescent="0.25">
      <c r="A2196" s="1">
        <v>41382</v>
      </c>
      <c r="B2196">
        <v>3.41</v>
      </c>
      <c r="C2196" s="11">
        <f t="shared" si="136"/>
        <v>3.4099999999999998E-2</v>
      </c>
      <c r="D2196">
        <f t="shared" si="137"/>
        <v>2013</v>
      </c>
      <c r="E2196" t="str">
        <f t="shared" si="138"/>
        <v>Apr-2013</v>
      </c>
      <c r="F2196" s="12">
        <f t="shared" si="139"/>
        <v>6.36</v>
      </c>
    </row>
    <row r="2197" spans="1:6" x14ac:dyDescent="0.25">
      <c r="A2197" s="1">
        <v>41389</v>
      </c>
      <c r="B2197">
        <v>3.4</v>
      </c>
      <c r="C2197" s="11">
        <f t="shared" si="136"/>
        <v>3.4000000000000002E-2</v>
      </c>
      <c r="D2197">
        <f t="shared" si="137"/>
        <v>2013</v>
      </c>
      <c r="E2197" t="str">
        <f t="shared" si="138"/>
        <v>Apr-2013</v>
      </c>
      <c r="F2197" s="12">
        <f t="shared" si="139"/>
        <v>6.36</v>
      </c>
    </row>
    <row r="2198" spans="1:6" x14ac:dyDescent="0.25">
      <c r="A2198" s="1">
        <v>41396</v>
      </c>
      <c r="B2198">
        <v>3.35</v>
      </c>
      <c r="C2198" s="11">
        <f t="shared" si="136"/>
        <v>3.3500000000000002E-2</v>
      </c>
      <c r="D2198">
        <f t="shared" si="137"/>
        <v>2013</v>
      </c>
      <c r="E2198" t="str">
        <f t="shared" si="138"/>
        <v>May-2013</v>
      </c>
      <c r="F2198" s="12">
        <f t="shared" si="139"/>
        <v>6.36</v>
      </c>
    </row>
    <row r="2199" spans="1:6" x14ac:dyDescent="0.25">
      <c r="A2199" s="1">
        <v>41403</v>
      </c>
      <c r="B2199">
        <v>3.42</v>
      </c>
      <c r="C2199" s="11">
        <f t="shared" si="136"/>
        <v>3.4200000000000001E-2</v>
      </c>
      <c r="D2199">
        <f t="shared" si="137"/>
        <v>2013</v>
      </c>
      <c r="E2199" t="str">
        <f t="shared" si="138"/>
        <v>May-2013</v>
      </c>
      <c r="F2199" s="12">
        <f t="shared" si="139"/>
        <v>6.36</v>
      </c>
    </row>
    <row r="2200" spans="1:6" x14ac:dyDescent="0.25">
      <c r="A2200" s="1">
        <v>41410</v>
      </c>
      <c r="B2200">
        <v>3.51</v>
      </c>
      <c r="C2200" s="11">
        <f t="shared" si="136"/>
        <v>3.5099999999999999E-2</v>
      </c>
      <c r="D2200">
        <f t="shared" si="137"/>
        <v>2013</v>
      </c>
      <c r="E2200" t="str">
        <f t="shared" si="138"/>
        <v>May-2013</v>
      </c>
      <c r="F2200" s="12">
        <f t="shared" si="139"/>
        <v>6.36</v>
      </c>
    </row>
    <row r="2201" spans="1:6" x14ac:dyDescent="0.25">
      <c r="A2201" s="1">
        <v>41417</v>
      </c>
      <c r="B2201">
        <v>3.59</v>
      </c>
      <c r="C2201" s="11">
        <f t="shared" si="136"/>
        <v>3.5900000000000001E-2</v>
      </c>
      <c r="D2201">
        <f t="shared" si="137"/>
        <v>2013</v>
      </c>
      <c r="E2201" t="str">
        <f t="shared" si="138"/>
        <v>May-2013</v>
      </c>
      <c r="F2201" s="12">
        <f t="shared" si="139"/>
        <v>6.36</v>
      </c>
    </row>
    <row r="2202" spans="1:6" x14ac:dyDescent="0.25">
      <c r="A2202" s="1">
        <v>41424</v>
      </c>
      <c r="B2202">
        <v>3.81</v>
      </c>
      <c r="C2202" s="11">
        <f t="shared" si="136"/>
        <v>3.8100000000000002E-2</v>
      </c>
      <c r="D2202">
        <f t="shared" si="137"/>
        <v>2013</v>
      </c>
      <c r="E2202" t="str">
        <f t="shared" si="138"/>
        <v>May-2013</v>
      </c>
      <c r="F2202" s="12">
        <f t="shared" si="139"/>
        <v>6.36</v>
      </c>
    </row>
    <row r="2203" spans="1:6" x14ac:dyDescent="0.25">
      <c r="A2203" s="1">
        <v>41431</v>
      </c>
      <c r="B2203">
        <v>3.91</v>
      </c>
      <c r="C2203" s="11">
        <f t="shared" si="136"/>
        <v>3.9100000000000003E-2</v>
      </c>
      <c r="D2203">
        <f t="shared" si="137"/>
        <v>2013</v>
      </c>
      <c r="E2203" t="str">
        <f t="shared" si="138"/>
        <v>Jun-2013</v>
      </c>
      <c r="F2203" s="12">
        <f t="shared" si="139"/>
        <v>6.36</v>
      </c>
    </row>
    <row r="2204" spans="1:6" x14ac:dyDescent="0.25">
      <c r="A2204" s="1">
        <v>41438</v>
      </c>
      <c r="B2204">
        <v>3.98</v>
      </c>
      <c r="C2204" s="11">
        <f t="shared" si="136"/>
        <v>3.9800000000000002E-2</v>
      </c>
      <c r="D2204">
        <f t="shared" si="137"/>
        <v>2013</v>
      </c>
      <c r="E2204" t="str">
        <f t="shared" si="138"/>
        <v>Jun-2013</v>
      </c>
      <c r="F2204" s="12">
        <f t="shared" si="139"/>
        <v>6.36</v>
      </c>
    </row>
    <row r="2205" spans="1:6" x14ac:dyDescent="0.25">
      <c r="A2205" s="1">
        <v>41445</v>
      </c>
      <c r="B2205">
        <v>3.93</v>
      </c>
      <c r="C2205" s="11">
        <f t="shared" si="136"/>
        <v>3.9300000000000002E-2</v>
      </c>
      <c r="D2205">
        <f t="shared" si="137"/>
        <v>2013</v>
      </c>
      <c r="E2205" t="str">
        <f t="shared" si="138"/>
        <v>Jun-2013</v>
      </c>
      <c r="F2205" s="12">
        <f t="shared" si="139"/>
        <v>6.36</v>
      </c>
    </row>
    <row r="2206" spans="1:6" x14ac:dyDescent="0.25">
      <c r="A2206" s="1">
        <v>41452</v>
      </c>
      <c r="B2206">
        <v>4.46</v>
      </c>
      <c r="C2206" s="11">
        <f t="shared" si="136"/>
        <v>4.4600000000000001E-2</v>
      </c>
      <c r="D2206">
        <f t="shared" si="137"/>
        <v>2013</v>
      </c>
      <c r="E2206" t="str">
        <f t="shared" si="138"/>
        <v>Jun-2013</v>
      </c>
      <c r="F2206" s="12">
        <f t="shared" si="139"/>
        <v>6.36</v>
      </c>
    </row>
    <row r="2207" spans="1:6" x14ac:dyDescent="0.25">
      <c r="A2207" s="1">
        <v>41458</v>
      </c>
      <c r="B2207">
        <v>4.29</v>
      </c>
      <c r="C2207" s="11">
        <f t="shared" si="136"/>
        <v>4.2900000000000001E-2</v>
      </c>
      <c r="D2207">
        <f t="shared" si="137"/>
        <v>2013</v>
      </c>
      <c r="E2207" t="str">
        <f t="shared" si="138"/>
        <v>Jul-2013</v>
      </c>
      <c r="F2207" s="12">
        <f t="shared" si="139"/>
        <v>6.36</v>
      </c>
    </row>
    <row r="2208" spans="1:6" x14ac:dyDescent="0.25">
      <c r="A2208" s="1">
        <v>41466</v>
      </c>
      <c r="B2208">
        <v>4.51</v>
      </c>
      <c r="C2208" s="11">
        <f t="shared" si="136"/>
        <v>4.5100000000000001E-2</v>
      </c>
      <c r="D2208">
        <f t="shared" si="137"/>
        <v>2013</v>
      </c>
      <c r="E2208" t="str">
        <f t="shared" si="138"/>
        <v>Jul-2013</v>
      </c>
      <c r="F2208" s="12">
        <f t="shared" si="139"/>
        <v>6.36</v>
      </c>
    </row>
    <row r="2209" spans="1:6" x14ac:dyDescent="0.25">
      <c r="A2209" s="1">
        <v>41473</v>
      </c>
      <c r="B2209">
        <v>4.37</v>
      </c>
      <c r="C2209" s="11">
        <f t="shared" si="136"/>
        <v>4.3700000000000003E-2</v>
      </c>
      <c r="D2209">
        <f t="shared" si="137"/>
        <v>2013</v>
      </c>
      <c r="E2209" t="str">
        <f t="shared" si="138"/>
        <v>Jul-2013</v>
      </c>
      <c r="F2209" s="12">
        <f t="shared" si="139"/>
        <v>6.36</v>
      </c>
    </row>
    <row r="2210" spans="1:6" x14ac:dyDescent="0.25">
      <c r="A2210" s="1">
        <v>41480</v>
      </c>
      <c r="B2210">
        <v>4.3099999999999996</v>
      </c>
      <c r="C2210" s="11">
        <f t="shared" si="136"/>
        <v>4.3099999999999999E-2</v>
      </c>
      <c r="D2210">
        <f t="shared" si="137"/>
        <v>2013</v>
      </c>
      <c r="E2210" t="str">
        <f t="shared" si="138"/>
        <v>Jul-2013</v>
      </c>
      <c r="F2210" s="12">
        <f t="shared" si="139"/>
        <v>6.36</v>
      </c>
    </row>
    <row r="2211" spans="1:6" x14ac:dyDescent="0.25">
      <c r="A2211" s="1">
        <v>41487</v>
      </c>
      <c r="B2211">
        <v>4.3899999999999997</v>
      </c>
      <c r="C2211" s="11">
        <f t="shared" si="136"/>
        <v>4.3899999999999995E-2</v>
      </c>
      <c r="D2211">
        <f t="shared" si="137"/>
        <v>2013</v>
      </c>
      <c r="E2211" t="str">
        <f t="shared" si="138"/>
        <v>Aug-2013</v>
      </c>
      <c r="F2211" s="12">
        <f t="shared" si="139"/>
        <v>6.36</v>
      </c>
    </row>
    <row r="2212" spans="1:6" x14ac:dyDescent="0.25">
      <c r="A2212" s="1">
        <v>41494</v>
      </c>
      <c r="B2212">
        <v>4.4000000000000004</v>
      </c>
      <c r="C2212" s="11">
        <f t="shared" si="136"/>
        <v>4.4000000000000004E-2</v>
      </c>
      <c r="D2212">
        <f t="shared" si="137"/>
        <v>2013</v>
      </c>
      <c r="E2212" t="str">
        <f t="shared" si="138"/>
        <v>Aug-2013</v>
      </c>
      <c r="F2212" s="12">
        <f t="shared" si="139"/>
        <v>6.36</v>
      </c>
    </row>
    <row r="2213" spans="1:6" x14ac:dyDescent="0.25">
      <c r="A2213" s="1">
        <v>41501</v>
      </c>
      <c r="B2213">
        <v>4.4000000000000004</v>
      </c>
      <c r="C2213" s="11">
        <f t="shared" si="136"/>
        <v>4.4000000000000004E-2</v>
      </c>
      <c r="D2213">
        <f t="shared" si="137"/>
        <v>2013</v>
      </c>
      <c r="E2213" t="str">
        <f t="shared" si="138"/>
        <v>Aug-2013</v>
      </c>
      <c r="F2213" s="12">
        <f t="shared" si="139"/>
        <v>6.36</v>
      </c>
    </row>
    <row r="2214" spans="1:6" x14ac:dyDescent="0.25">
      <c r="A2214" s="1">
        <v>41508</v>
      </c>
      <c r="B2214">
        <v>4.58</v>
      </c>
      <c r="C2214" s="11">
        <f t="shared" si="136"/>
        <v>4.58E-2</v>
      </c>
      <c r="D2214">
        <f t="shared" si="137"/>
        <v>2013</v>
      </c>
      <c r="E2214" t="str">
        <f t="shared" si="138"/>
        <v>Aug-2013</v>
      </c>
      <c r="F2214" s="12">
        <f t="shared" si="139"/>
        <v>6.36</v>
      </c>
    </row>
    <row r="2215" spans="1:6" x14ac:dyDescent="0.25">
      <c r="A2215" s="1">
        <v>41515</v>
      </c>
      <c r="B2215">
        <v>4.51</v>
      </c>
      <c r="C2215" s="11">
        <f t="shared" si="136"/>
        <v>4.5100000000000001E-2</v>
      </c>
      <c r="D2215">
        <f t="shared" si="137"/>
        <v>2013</v>
      </c>
      <c r="E2215" t="str">
        <f t="shared" si="138"/>
        <v>Aug-2013</v>
      </c>
      <c r="F2215" s="12">
        <f t="shared" si="139"/>
        <v>6.36</v>
      </c>
    </row>
    <row r="2216" spans="1:6" x14ac:dyDescent="0.25">
      <c r="A2216" s="1">
        <v>41522</v>
      </c>
      <c r="B2216">
        <v>4.57</v>
      </c>
      <c r="C2216" s="11">
        <f t="shared" si="136"/>
        <v>4.5700000000000005E-2</v>
      </c>
      <c r="D2216">
        <f t="shared" si="137"/>
        <v>2013</v>
      </c>
      <c r="E2216" t="str">
        <f t="shared" si="138"/>
        <v>Sep-2013</v>
      </c>
      <c r="F2216" s="12">
        <f t="shared" si="139"/>
        <v>6.36</v>
      </c>
    </row>
    <row r="2217" spans="1:6" x14ac:dyDescent="0.25">
      <c r="A2217" s="1">
        <v>41529</v>
      </c>
      <c r="B2217">
        <v>4.57</v>
      </c>
      <c r="C2217" s="11">
        <f t="shared" si="136"/>
        <v>4.5700000000000005E-2</v>
      </c>
      <c r="D2217">
        <f t="shared" si="137"/>
        <v>2013</v>
      </c>
      <c r="E2217" t="str">
        <f t="shared" si="138"/>
        <v>Sep-2013</v>
      </c>
      <c r="F2217" s="12">
        <f t="shared" si="139"/>
        <v>6.36</v>
      </c>
    </row>
    <row r="2218" spans="1:6" x14ac:dyDescent="0.25">
      <c r="A2218" s="1">
        <v>41536</v>
      </c>
      <c r="B2218">
        <v>4.5</v>
      </c>
      <c r="C2218" s="11">
        <f t="shared" si="136"/>
        <v>4.4999999999999998E-2</v>
      </c>
      <c r="D2218">
        <f t="shared" si="137"/>
        <v>2013</v>
      </c>
      <c r="E2218" t="str">
        <f t="shared" si="138"/>
        <v>Sep-2013</v>
      </c>
      <c r="F2218" s="12">
        <f t="shared" si="139"/>
        <v>6.36</v>
      </c>
    </row>
    <row r="2219" spans="1:6" x14ac:dyDescent="0.25">
      <c r="A2219" s="1">
        <v>41543</v>
      </c>
      <c r="B2219">
        <v>4.32</v>
      </c>
      <c r="C2219" s="11">
        <f t="shared" si="136"/>
        <v>4.3200000000000002E-2</v>
      </c>
      <c r="D2219">
        <f t="shared" si="137"/>
        <v>2013</v>
      </c>
      <c r="E2219" t="str">
        <f t="shared" si="138"/>
        <v>Sep-2013</v>
      </c>
      <c r="F2219" s="12">
        <f t="shared" si="139"/>
        <v>6.36</v>
      </c>
    </row>
    <row r="2220" spans="1:6" x14ac:dyDescent="0.25">
      <c r="A2220" s="1">
        <v>41550</v>
      </c>
      <c r="B2220">
        <v>4.22</v>
      </c>
      <c r="C2220" s="11">
        <f t="shared" si="136"/>
        <v>4.2199999999999994E-2</v>
      </c>
      <c r="D2220">
        <f t="shared" si="137"/>
        <v>2013</v>
      </c>
      <c r="E2220" t="str">
        <f t="shared" si="138"/>
        <v>Oct-2013</v>
      </c>
      <c r="F2220" s="12">
        <f t="shared" si="139"/>
        <v>6.36</v>
      </c>
    </row>
    <row r="2221" spans="1:6" x14ac:dyDescent="0.25">
      <c r="A2221" s="1">
        <v>41557</v>
      </c>
      <c r="B2221">
        <v>4.2300000000000004</v>
      </c>
      <c r="C2221" s="11">
        <f t="shared" si="136"/>
        <v>4.2300000000000004E-2</v>
      </c>
      <c r="D2221">
        <f t="shared" si="137"/>
        <v>2013</v>
      </c>
      <c r="E2221" t="str">
        <f t="shared" si="138"/>
        <v>Oct-2013</v>
      </c>
      <c r="F2221" s="12">
        <f t="shared" si="139"/>
        <v>6.36</v>
      </c>
    </row>
    <row r="2222" spans="1:6" x14ac:dyDescent="0.25">
      <c r="A2222" s="1">
        <v>41564</v>
      </c>
      <c r="B2222">
        <v>4.28</v>
      </c>
      <c r="C2222" s="11">
        <f t="shared" si="136"/>
        <v>4.2800000000000005E-2</v>
      </c>
      <c r="D2222">
        <f t="shared" si="137"/>
        <v>2013</v>
      </c>
      <c r="E2222" t="str">
        <f t="shared" si="138"/>
        <v>Oct-2013</v>
      </c>
      <c r="F2222" s="12">
        <f t="shared" si="139"/>
        <v>6.36</v>
      </c>
    </row>
    <row r="2223" spans="1:6" x14ac:dyDescent="0.25">
      <c r="A2223" s="1">
        <v>41571</v>
      </c>
      <c r="B2223">
        <v>4.13</v>
      </c>
      <c r="C2223" s="11">
        <f t="shared" si="136"/>
        <v>4.1299999999999996E-2</v>
      </c>
      <c r="D2223">
        <f t="shared" si="137"/>
        <v>2013</v>
      </c>
      <c r="E2223" t="str">
        <f t="shared" si="138"/>
        <v>Oct-2013</v>
      </c>
      <c r="F2223" s="12">
        <f t="shared" si="139"/>
        <v>6.36</v>
      </c>
    </row>
    <row r="2224" spans="1:6" x14ac:dyDescent="0.25">
      <c r="A2224" s="1">
        <v>41578</v>
      </c>
      <c r="B2224">
        <v>4.0999999999999996</v>
      </c>
      <c r="C2224" s="11">
        <f t="shared" si="136"/>
        <v>4.0999999999999995E-2</v>
      </c>
      <c r="D2224">
        <f t="shared" si="137"/>
        <v>2013</v>
      </c>
      <c r="E2224" t="str">
        <f t="shared" si="138"/>
        <v>Oct-2013</v>
      </c>
      <c r="F2224" s="12">
        <f t="shared" si="139"/>
        <v>6.36</v>
      </c>
    </row>
    <row r="2225" spans="1:6" x14ac:dyDescent="0.25">
      <c r="A2225" s="1">
        <v>41585</v>
      </c>
      <c r="B2225">
        <v>4.16</v>
      </c>
      <c r="C2225" s="11">
        <f t="shared" si="136"/>
        <v>4.1599999999999998E-2</v>
      </c>
      <c r="D2225">
        <f t="shared" si="137"/>
        <v>2013</v>
      </c>
      <c r="E2225" t="str">
        <f t="shared" si="138"/>
        <v>Nov-2013</v>
      </c>
      <c r="F2225" s="12">
        <f t="shared" si="139"/>
        <v>6.36</v>
      </c>
    </row>
    <row r="2226" spans="1:6" x14ac:dyDescent="0.25">
      <c r="A2226" s="1">
        <v>41592</v>
      </c>
      <c r="B2226">
        <v>4.3499999999999996</v>
      </c>
      <c r="C2226" s="11">
        <f t="shared" si="136"/>
        <v>4.3499999999999997E-2</v>
      </c>
      <c r="D2226">
        <f t="shared" si="137"/>
        <v>2013</v>
      </c>
      <c r="E2226" t="str">
        <f t="shared" si="138"/>
        <v>Nov-2013</v>
      </c>
      <c r="F2226" s="12">
        <f t="shared" si="139"/>
        <v>6.36</v>
      </c>
    </row>
    <row r="2227" spans="1:6" x14ac:dyDescent="0.25">
      <c r="A2227" s="1">
        <v>41599</v>
      </c>
      <c r="B2227">
        <v>4.22</v>
      </c>
      <c r="C2227" s="11">
        <f t="shared" si="136"/>
        <v>4.2199999999999994E-2</v>
      </c>
      <c r="D2227">
        <f t="shared" si="137"/>
        <v>2013</v>
      </c>
      <c r="E2227" t="str">
        <f t="shared" si="138"/>
        <v>Nov-2013</v>
      </c>
      <c r="F2227" s="12">
        <f t="shared" si="139"/>
        <v>6.36</v>
      </c>
    </row>
    <row r="2228" spans="1:6" x14ac:dyDescent="0.25">
      <c r="A2228" s="1">
        <v>41605</v>
      </c>
      <c r="B2228">
        <v>4.29</v>
      </c>
      <c r="C2228" s="11">
        <f t="shared" si="136"/>
        <v>4.2900000000000001E-2</v>
      </c>
      <c r="D2228">
        <f t="shared" si="137"/>
        <v>2013</v>
      </c>
      <c r="E2228" t="str">
        <f t="shared" si="138"/>
        <v>Nov-2013</v>
      </c>
      <c r="F2228" s="12">
        <f t="shared" si="139"/>
        <v>6.36</v>
      </c>
    </row>
    <row r="2229" spans="1:6" x14ac:dyDescent="0.25">
      <c r="A2229" s="1">
        <v>41613</v>
      </c>
      <c r="B2229">
        <v>4.46</v>
      </c>
      <c r="C2229" s="11">
        <f t="shared" si="136"/>
        <v>4.4600000000000001E-2</v>
      </c>
      <c r="D2229">
        <f t="shared" si="137"/>
        <v>2013</v>
      </c>
      <c r="E2229" t="str">
        <f t="shared" si="138"/>
        <v>Dec-2013</v>
      </c>
      <c r="F2229" s="12">
        <f t="shared" si="139"/>
        <v>6.36</v>
      </c>
    </row>
    <row r="2230" spans="1:6" x14ac:dyDescent="0.25">
      <c r="A2230" s="1">
        <v>41620</v>
      </c>
      <c r="B2230">
        <v>4.42</v>
      </c>
      <c r="C2230" s="11">
        <f t="shared" si="136"/>
        <v>4.4199999999999996E-2</v>
      </c>
      <c r="D2230">
        <f t="shared" si="137"/>
        <v>2013</v>
      </c>
      <c r="E2230" t="str">
        <f t="shared" si="138"/>
        <v>Dec-2013</v>
      </c>
      <c r="F2230" s="12">
        <f t="shared" si="139"/>
        <v>6.36</v>
      </c>
    </row>
    <row r="2231" spans="1:6" x14ac:dyDescent="0.25">
      <c r="A2231" s="1">
        <v>41627</v>
      </c>
      <c r="B2231">
        <v>4.47</v>
      </c>
      <c r="C2231" s="11">
        <f t="shared" si="136"/>
        <v>4.4699999999999997E-2</v>
      </c>
      <c r="D2231">
        <f t="shared" si="137"/>
        <v>2013</v>
      </c>
      <c r="E2231" t="str">
        <f t="shared" si="138"/>
        <v>Dec-2013</v>
      </c>
      <c r="F2231" s="12">
        <f t="shared" si="139"/>
        <v>6.36</v>
      </c>
    </row>
    <row r="2232" spans="1:6" x14ac:dyDescent="0.25">
      <c r="A2232" s="1">
        <v>41634</v>
      </c>
      <c r="B2232">
        <v>4.4800000000000004</v>
      </c>
      <c r="C2232" s="11">
        <f t="shared" si="136"/>
        <v>4.4800000000000006E-2</v>
      </c>
      <c r="D2232">
        <f t="shared" si="137"/>
        <v>2013</v>
      </c>
      <c r="E2232" t="str">
        <f t="shared" si="138"/>
        <v>Dec-2013</v>
      </c>
      <c r="F2232" s="12">
        <f t="shared" si="139"/>
        <v>6.36</v>
      </c>
    </row>
    <row r="2233" spans="1:6" x14ac:dyDescent="0.25">
      <c r="A2233" s="1">
        <v>41641</v>
      </c>
      <c r="B2233">
        <v>4.53</v>
      </c>
      <c r="C2233" s="11">
        <f t="shared" si="136"/>
        <v>4.53E-2</v>
      </c>
      <c r="D2233">
        <f t="shared" si="137"/>
        <v>2014</v>
      </c>
      <c r="E2233" t="str">
        <f t="shared" si="138"/>
        <v>Jan-2014</v>
      </c>
      <c r="F2233" s="12">
        <f t="shared" si="139"/>
        <v>6.36</v>
      </c>
    </row>
    <row r="2234" spans="1:6" x14ac:dyDescent="0.25">
      <c r="A2234" s="1">
        <v>41648</v>
      </c>
      <c r="B2234">
        <v>4.51</v>
      </c>
      <c r="C2234" s="11">
        <f t="shared" si="136"/>
        <v>4.5100000000000001E-2</v>
      </c>
      <c r="D2234">
        <f t="shared" si="137"/>
        <v>2014</v>
      </c>
      <c r="E2234" t="str">
        <f t="shared" si="138"/>
        <v>Jan-2014</v>
      </c>
      <c r="F2234" s="12">
        <f t="shared" si="139"/>
        <v>6.36</v>
      </c>
    </row>
    <row r="2235" spans="1:6" x14ac:dyDescent="0.25">
      <c r="A2235" s="1">
        <v>41655</v>
      </c>
      <c r="B2235">
        <v>4.41</v>
      </c>
      <c r="C2235" s="11">
        <f t="shared" si="136"/>
        <v>4.41E-2</v>
      </c>
      <c r="D2235">
        <f t="shared" si="137"/>
        <v>2014</v>
      </c>
      <c r="E2235" t="str">
        <f t="shared" si="138"/>
        <v>Jan-2014</v>
      </c>
      <c r="F2235" s="12">
        <f t="shared" si="139"/>
        <v>6.36</v>
      </c>
    </row>
    <row r="2236" spans="1:6" x14ac:dyDescent="0.25">
      <c r="A2236" s="1">
        <v>41662</v>
      </c>
      <c r="B2236">
        <v>4.3899999999999997</v>
      </c>
      <c r="C2236" s="11">
        <f t="shared" si="136"/>
        <v>4.3899999999999995E-2</v>
      </c>
      <c r="D2236">
        <f t="shared" si="137"/>
        <v>2014</v>
      </c>
      <c r="E2236" t="str">
        <f t="shared" si="138"/>
        <v>Jan-2014</v>
      </c>
      <c r="F2236" s="12">
        <f t="shared" si="139"/>
        <v>6.36</v>
      </c>
    </row>
    <row r="2237" spans="1:6" x14ac:dyDescent="0.25">
      <c r="A2237" s="1">
        <v>41669</v>
      </c>
      <c r="B2237">
        <v>4.32</v>
      </c>
      <c r="C2237" s="11">
        <f t="shared" si="136"/>
        <v>4.3200000000000002E-2</v>
      </c>
      <c r="D2237">
        <f t="shared" si="137"/>
        <v>2014</v>
      </c>
      <c r="E2237" t="str">
        <f t="shared" si="138"/>
        <v>Jan-2014</v>
      </c>
      <c r="F2237" s="12">
        <f t="shared" si="139"/>
        <v>6.36</v>
      </c>
    </row>
    <row r="2238" spans="1:6" x14ac:dyDescent="0.25">
      <c r="A2238" s="1">
        <v>41676</v>
      </c>
      <c r="B2238">
        <v>4.2300000000000004</v>
      </c>
      <c r="C2238" s="11">
        <f t="shared" si="136"/>
        <v>4.2300000000000004E-2</v>
      </c>
      <c r="D2238">
        <f t="shared" si="137"/>
        <v>2014</v>
      </c>
      <c r="E2238" t="str">
        <f t="shared" si="138"/>
        <v>Feb-2014</v>
      </c>
      <c r="F2238" s="12">
        <f t="shared" si="139"/>
        <v>6.36</v>
      </c>
    </row>
    <row r="2239" spans="1:6" x14ac:dyDescent="0.25">
      <c r="A2239" s="1">
        <v>41683</v>
      </c>
      <c r="B2239">
        <v>4.28</v>
      </c>
      <c r="C2239" s="11">
        <f t="shared" si="136"/>
        <v>4.2800000000000005E-2</v>
      </c>
      <c r="D2239">
        <f t="shared" si="137"/>
        <v>2014</v>
      </c>
      <c r="E2239" t="str">
        <f t="shared" si="138"/>
        <v>Feb-2014</v>
      </c>
      <c r="F2239" s="12">
        <f t="shared" si="139"/>
        <v>6.36</v>
      </c>
    </row>
    <row r="2240" spans="1:6" x14ac:dyDescent="0.25">
      <c r="A2240" s="1">
        <v>41690</v>
      </c>
      <c r="B2240">
        <v>4.33</v>
      </c>
      <c r="C2240" s="11">
        <f t="shared" si="136"/>
        <v>4.3299999999999998E-2</v>
      </c>
      <c r="D2240">
        <f t="shared" si="137"/>
        <v>2014</v>
      </c>
      <c r="E2240" t="str">
        <f t="shared" si="138"/>
        <v>Feb-2014</v>
      </c>
      <c r="F2240" s="12">
        <f t="shared" si="139"/>
        <v>6.36</v>
      </c>
    </row>
    <row r="2241" spans="1:6" x14ac:dyDescent="0.25">
      <c r="A2241" s="1">
        <v>41697</v>
      </c>
      <c r="B2241">
        <v>4.37</v>
      </c>
      <c r="C2241" s="11">
        <f t="shared" si="136"/>
        <v>4.3700000000000003E-2</v>
      </c>
      <c r="D2241">
        <f t="shared" si="137"/>
        <v>2014</v>
      </c>
      <c r="E2241" t="str">
        <f t="shared" si="138"/>
        <v>Feb-2014</v>
      </c>
      <c r="F2241" s="12">
        <f t="shared" si="139"/>
        <v>6.36</v>
      </c>
    </row>
    <row r="2242" spans="1:6" x14ac:dyDescent="0.25">
      <c r="A2242" s="1">
        <v>41704</v>
      </c>
      <c r="B2242">
        <v>4.28</v>
      </c>
      <c r="C2242" s="11">
        <f t="shared" ref="C2242:C2305" si="140">B2242/100</f>
        <v>4.2800000000000005E-2</v>
      </c>
      <c r="D2242">
        <f t="shared" ref="D2242:D2305" si="141">YEAR(A2242)</f>
        <v>2014</v>
      </c>
      <c r="E2242" t="str">
        <f t="shared" ref="E2242:E2305" si="142">TEXT(A2242,"MMM-YYYY")</f>
        <v>Mar-2014</v>
      </c>
      <c r="F2242" s="12">
        <f t="shared" ref="F2242:F2305" si="143">$H$2</f>
        <v>6.36</v>
      </c>
    </row>
    <row r="2243" spans="1:6" x14ac:dyDescent="0.25">
      <c r="A2243" s="1">
        <v>41711</v>
      </c>
      <c r="B2243">
        <v>4.37</v>
      </c>
      <c r="C2243" s="11">
        <f t="shared" si="140"/>
        <v>4.3700000000000003E-2</v>
      </c>
      <c r="D2243">
        <f t="shared" si="141"/>
        <v>2014</v>
      </c>
      <c r="E2243" t="str">
        <f t="shared" si="142"/>
        <v>Mar-2014</v>
      </c>
      <c r="F2243" s="12">
        <f t="shared" si="143"/>
        <v>6.36</v>
      </c>
    </row>
    <row r="2244" spans="1:6" x14ac:dyDescent="0.25">
      <c r="A2244" s="1">
        <v>41718</v>
      </c>
      <c r="B2244">
        <v>4.32</v>
      </c>
      <c r="C2244" s="11">
        <f t="shared" si="140"/>
        <v>4.3200000000000002E-2</v>
      </c>
      <c r="D2244">
        <f t="shared" si="141"/>
        <v>2014</v>
      </c>
      <c r="E2244" t="str">
        <f t="shared" si="142"/>
        <v>Mar-2014</v>
      </c>
      <c r="F2244" s="12">
        <f t="shared" si="143"/>
        <v>6.36</v>
      </c>
    </row>
    <row r="2245" spans="1:6" x14ac:dyDescent="0.25">
      <c r="A2245" s="1">
        <v>41725</v>
      </c>
      <c r="B2245">
        <v>4.4000000000000004</v>
      </c>
      <c r="C2245" s="11">
        <f t="shared" si="140"/>
        <v>4.4000000000000004E-2</v>
      </c>
      <c r="D2245">
        <f t="shared" si="141"/>
        <v>2014</v>
      </c>
      <c r="E2245" t="str">
        <f t="shared" si="142"/>
        <v>Mar-2014</v>
      </c>
      <c r="F2245" s="12">
        <f t="shared" si="143"/>
        <v>6.36</v>
      </c>
    </row>
    <row r="2246" spans="1:6" x14ac:dyDescent="0.25">
      <c r="A2246" s="1">
        <v>41732</v>
      </c>
      <c r="B2246">
        <v>4.41</v>
      </c>
      <c r="C2246" s="11">
        <f t="shared" si="140"/>
        <v>4.41E-2</v>
      </c>
      <c r="D2246">
        <f t="shared" si="141"/>
        <v>2014</v>
      </c>
      <c r="E2246" t="str">
        <f t="shared" si="142"/>
        <v>Apr-2014</v>
      </c>
      <c r="F2246" s="12">
        <f t="shared" si="143"/>
        <v>6.36</v>
      </c>
    </row>
    <row r="2247" spans="1:6" x14ac:dyDescent="0.25">
      <c r="A2247" s="1">
        <v>41739</v>
      </c>
      <c r="B2247">
        <v>4.34</v>
      </c>
      <c r="C2247" s="11">
        <f t="shared" si="140"/>
        <v>4.3400000000000001E-2</v>
      </c>
      <c r="D2247">
        <f t="shared" si="141"/>
        <v>2014</v>
      </c>
      <c r="E2247" t="str">
        <f t="shared" si="142"/>
        <v>Apr-2014</v>
      </c>
      <c r="F2247" s="12">
        <f t="shared" si="143"/>
        <v>6.36</v>
      </c>
    </row>
    <row r="2248" spans="1:6" x14ac:dyDescent="0.25">
      <c r="A2248" s="1">
        <v>41746</v>
      </c>
      <c r="B2248">
        <v>4.2699999999999996</v>
      </c>
      <c r="C2248" s="11">
        <f t="shared" si="140"/>
        <v>4.2699999999999995E-2</v>
      </c>
      <c r="D2248">
        <f t="shared" si="141"/>
        <v>2014</v>
      </c>
      <c r="E2248" t="str">
        <f t="shared" si="142"/>
        <v>Apr-2014</v>
      </c>
      <c r="F2248" s="12">
        <f t="shared" si="143"/>
        <v>6.36</v>
      </c>
    </row>
    <row r="2249" spans="1:6" x14ac:dyDescent="0.25">
      <c r="A2249" s="1">
        <v>41753</v>
      </c>
      <c r="B2249">
        <v>4.33</v>
      </c>
      <c r="C2249" s="11">
        <f t="shared" si="140"/>
        <v>4.3299999999999998E-2</v>
      </c>
      <c r="D2249">
        <f t="shared" si="141"/>
        <v>2014</v>
      </c>
      <c r="E2249" t="str">
        <f t="shared" si="142"/>
        <v>Apr-2014</v>
      </c>
      <c r="F2249" s="12">
        <f t="shared" si="143"/>
        <v>6.36</v>
      </c>
    </row>
    <row r="2250" spans="1:6" x14ac:dyDescent="0.25">
      <c r="A2250" s="1">
        <v>41760</v>
      </c>
      <c r="B2250">
        <v>4.29</v>
      </c>
      <c r="C2250" s="11">
        <f t="shared" si="140"/>
        <v>4.2900000000000001E-2</v>
      </c>
      <c r="D2250">
        <f t="shared" si="141"/>
        <v>2014</v>
      </c>
      <c r="E2250" t="str">
        <f t="shared" si="142"/>
        <v>May-2014</v>
      </c>
      <c r="F2250" s="12">
        <f t="shared" si="143"/>
        <v>6.36</v>
      </c>
    </row>
    <row r="2251" spans="1:6" x14ac:dyDescent="0.25">
      <c r="A2251" s="1">
        <v>41767</v>
      </c>
      <c r="B2251">
        <v>4.21</v>
      </c>
      <c r="C2251" s="11">
        <f t="shared" si="140"/>
        <v>4.2099999999999999E-2</v>
      </c>
      <c r="D2251">
        <f t="shared" si="141"/>
        <v>2014</v>
      </c>
      <c r="E2251" t="str">
        <f t="shared" si="142"/>
        <v>May-2014</v>
      </c>
      <c r="F2251" s="12">
        <f t="shared" si="143"/>
        <v>6.36</v>
      </c>
    </row>
    <row r="2252" spans="1:6" x14ac:dyDescent="0.25">
      <c r="A2252" s="1">
        <v>41774</v>
      </c>
      <c r="B2252">
        <v>4.2</v>
      </c>
      <c r="C2252" s="11">
        <f t="shared" si="140"/>
        <v>4.2000000000000003E-2</v>
      </c>
      <c r="D2252">
        <f t="shared" si="141"/>
        <v>2014</v>
      </c>
      <c r="E2252" t="str">
        <f t="shared" si="142"/>
        <v>May-2014</v>
      </c>
      <c r="F2252" s="12">
        <f t="shared" si="143"/>
        <v>6.36</v>
      </c>
    </row>
    <row r="2253" spans="1:6" x14ac:dyDescent="0.25">
      <c r="A2253" s="1">
        <v>41781</v>
      </c>
      <c r="B2253">
        <v>4.1399999999999997</v>
      </c>
      <c r="C2253" s="11">
        <f t="shared" si="140"/>
        <v>4.1399999999999999E-2</v>
      </c>
      <c r="D2253">
        <f t="shared" si="141"/>
        <v>2014</v>
      </c>
      <c r="E2253" t="str">
        <f t="shared" si="142"/>
        <v>May-2014</v>
      </c>
      <c r="F2253" s="12">
        <f t="shared" si="143"/>
        <v>6.36</v>
      </c>
    </row>
    <row r="2254" spans="1:6" x14ac:dyDescent="0.25">
      <c r="A2254" s="1">
        <v>41788</v>
      </c>
      <c r="B2254">
        <v>4.12</v>
      </c>
      <c r="C2254" s="11">
        <f t="shared" si="140"/>
        <v>4.1200000000000001E-2</v>
      </c>
      <c r="D2254">
        <f t="shared" si="141"/>
        <v>2014</v>
      </c>
      <c r="E2254" t="str">
        <f t="shared" si="142"/>
        <v>May-2014</v>
      </c>
      <c r="F2254" s="12">
        <f t="shared" si="143"/>
        <v>6.36</v>
      </c>
    </row>
    <row r="2255" spans="1:6" x14ac:dyDescent="0.25">
      <c r="A2255" s="1">
        <v>41795</v>
      </c>
      <c r="B2255">
        <v>4.1399999999999997</v>
      </c>
      <c r="C2255" s="11">
        <f t="shared" si="140"/>
        <v>4.1399999999999999E-2</v>
      </c>
      <c r="D2255">
        <f t="shared" si="141"/>
        <v>2014</v>
      </c>
      <c r="E2255" t="str">
        <f t="shared" si="142"/>
        <v>Jun-2014</v>
      </c>
      <c r="F2255" s="12">
        <f t="shared" si="143"/>
        <v>6.36</v>
      </c>
    </row>
    <row r="2256" spans="1:6" x14ac:dyDescent="0.25">
      <c r="A2256" s="1">
        <v>41802</v>
      </c>
      <c r="B2256">
        <v>4.2</v>
      </c>
      <c r="C2256" s="11">
        <f t="shared" si="140"/>
        <v>4.2000000000000003E-2</v>
      </c>
      <c r="D2256">
        <f t="shared" si="141"/>
        <v>2014</v>
      </c>
      <c r="E2256" t="str">
        <f t="shared" si="142"/>
        <v>Jun-2014</v>
      </c>
      <c r="F2256" s="12">
        <f t="shared" si="143"/>
        <v>6.36</v>
      </c>
    </row>
    <row r="2257" spans="1:6" x14ac:dyDescent="0.25">
      <c r="A2257" s="1">
        <v>41809</v>
      </c>
      <c r="B2257">
        <v>4.17</v>
      </c>
      <c r="C2257" s="11">
        <f t="shared" si="140"/>
        <v>4.1700000000000001E-2</v>
      </c>
      <c r="D2257">
        <f t="shared" si="141"/>
        <v>2014</v>
      </c>
      <c r="E2257" t="str">
        <f t="shared" si="142"/>
        <v>Jun-2014</v>
      </c>
      <c r="F2257" s="12">
        <f t="shared" si="143"/>
        <v>6.36</v>
      </c>
    </row>
    <row r="2258" spans="1:6" x14ac:dyDescent="0.25">
      <c r="A2258" s="1">
        <v>41816</v>
      </c>
      <c r="B2258">
        <v>4.1399999999999997</v>
      </c>
      <c r="C2258" s="11">
        <f t="shared" si="140"/>
        <v>4.1399999999999999E-2</v>
      </c>
      <c r="D2258">
        <f t="shared" si="141"/>
        <v>2014</v>
      </c>
      <c r="E2258" t="str">
        <f t="shared" si="142"/>
        <v>Jun-2014</v>
      </c>
      <c r="F2258" s="12">
        <f t="shared" si="143"/>
        <v>6.36</v>
      </c>
    </row>
    <row r="2259" spans="1:6" x14ac:dyDescent="0.25">
      <c r="A2259" s="1">
        <v>41823</v>
      </c>
      <c r="B2259">
        <v>4.12</v>
      </c>
      <c r="C2259" s="11">
        <f t="shared" si="140"/>
        <v>4.1200000000000001E-2</v>
      </c>
      <c r="D2259">
        <f t="shared" si="141"/>
        <v>2014</v>
      </c>
      <c r="E2259" t="str">
        <f t="shared" si="142"/>
        <v>Jul-2014</v>
      </c>
      <c r="F2259" s="12">
        <f t="shared" si="143"/>
        <v>6.36</v>
      </c>
    </row>
    <row r="2260" spans="1:6" x14ac:dyDescent="0.25">
      <c r="A2260" s="1">
        <v>41830</v>
      </c>
      <c r="B2260">
        <v>4.1500000000000004</v>
      </c>
      <c r="C2260" s="11">
        <f t="shared" si="140"/>
        <v>4.1500000000000002E-2</v>
      </c>
      <c r="D2260">
        <f t="shared" si="141"/>
        <v>2014</v>
      </c>
      <c r="E2260" t="str">
        <f t="shared" si="142"/>
        <v>Jul-2014</v>
      </c>
      <c r="F2260" s="12">
        <f t="shared" si="143"/>
        <v>6.36</v>
      </c>
    </row>
    <row r="2261" spans="1:6" x14ac:dyDescent="0.25">
      <c r="A2261" s="1">
        <v>41837</v>
      </c>
      <c r="B2261">
        <v>4.13</v>
      </c>
      <c r="C2261" s="11">
        <f t="shared" si="140"/>
        <v>4.1299999999999996E-2</v>
      </c>
      <c r="D2261">
        <f t="shared" si="141"/>
        <v>2014</v>
      </c>
      <c r="E2261" t="str">
        <f t="shared" si="142"/>
        <v>Jul-2014</v>
      </c>
      <c r="F2261" s="12">
        <f t="shared" si="143"/>
        <v>6.36</v>
      </c>
    </row>
    <row r="2262" spans="1:6" x14ac:dyDescent="0.25">
      <c r="A2262" s="1">
        <v>41844</v>
      </c>
      <c r="B2262">
        <v>4.13</v>
      </c>
      <c r="C2262" s="11">
        <f t="shared" si="140"/>
        <v>4.1299999999999996E-2</v>
      </c>
      <c r="D2262">
        <f t="shared" si="141"/>
        <v>2014</v>
      </c>
      <c r="E2262" t="str">
        <f t="shared" si="142"/>
        <v>Jul-2014</v>
      </c>
      <c r="F2262" s="12">
        <f t="shared" si="143"/>
        <v>6.36</v>
      </c>
    </row>
    <row r="2263" spans="1:6" x14ac:dyDescent="0.25">
      <c r="A2263" s="1">
        <v>41851</v>
      </c>
      <c r="B2263">
        <v>4.12</v>
      </c>
      <c r="C2263" s="11">
        <f t="shared" si="140"/>
        <v>4.1200000000000001E-2</v>
      </c>
      <c r="D2263">
        <f t="shared" si="141"/>
        <v>2014</v>
      </c>
      <c r="E2263" t="str">
        <f t="shared" si="142"/>
        <v>Jul-2014</v>
      </c>
      <c r="F2263" s="12">
        <f t="shared" si="143"/>
        <v>6.36</v>
      </c>
    </row>
    <row r="2264" spans="1:6" x14ac:dyDescent="0.25">
      <c r="A2264" s="1">
        <v>41858</v>
      </c>
      <c r="B2264">
        <v>4.1399999999999997</v>
      </c>
      <c r="C2264" s="11">
        <f t="shared" si="140"/>
        <v>4.1399999999999999E-2</v>
      </c>
      <c r="D2264">
        <f t="shared" si="141"/>
        <v>2014</v>
      </c>
      <c r="E2264" t="str">
        <f t="shared" si="142"/>
        <v>Aug-2014</v>
      </c>
      <c r="F2264" s="12">
        <f t="shared" si="143"/>
        <v>6.36</v>
      </c>
    </row>
    <row r="2265" spans="1:6" x14ac:dyDescent="0.25">
      <c r="A2265" s="1">
        <v>41865</v>
      </c>
      <c r="B2265">
        <v>4.12</v>
      </c>
      <c r="C2265" s="11">
        <f t="shared" si="140"/>
        <v>4.1200000000000001E-2</v>
      </c>
      <c r="D2265">
        <f t="shared" si="141"/>
        <v>2014</v>
      </c>
      <c r="E2265" t="str">
        <f t="shared" si="142"/>
        <v>Aug-2014</v>
      </c>
      <c r="F2265" s="12">
        <f t="shared" si="143"/>
        <v>6.36</v>
      </c>
    </row>
    <row r="2266" spans="1:6" x14ac:dyDescent="0.25">
      <c r="A2266" s="1">
        <v>41872</v>
      </c>
      <c r="B2266">
        <v>4.0999999999999996</v>
      </c>
      <c r="C2266" s="11">
        <f t="shared" si="140"/>
        <v>4.0999999999999995E-2</v>
      </c>
      <c r="D2266">
        <f t="shared" si="141"/>
        <v>2014</v>
      </c>
      <c r="E2266" t="str">
        <f t="shared" si="142"/>
        <v>Aug-2014</v>
      </c>
      <c r="F2266" s="12">
        <f t="shared" si="143"/>
        <v>6.36</v>
      </c>
    </row>
    <row r="2267" spans="1:6" x14ac:dyDescent="0.25">
      <c r="A2267" s="1">
        <v>41879</v>
      </c>
      <c r="B2267">
        <v>4.0999999999999996</v>
      </c>
      <c r="C2267" s="11">
        <f t="shared" si="140"/>
        <v>4.0999999999999995E-2</v>
      </c>
      <c r="D2267">
        <f t="shared" si="141"/>
        <v>2014</v>
      </c>
      <c r="E2267" t="str">
        <f t="shared" si="142"/>
        <v>Aug-2014</v>
      </c>
      <c r="F2267" s="12">
        <f t="shared" si="143"/>
        <v>6.36</v>
      </c>
    </row>
    <row r="2268" spans="1:6" x14ac:dyDescent="0.25">
      <c r="A2268" s="1">
        <v>41886</v>
      </c>
      <c r="B2268">
        <v>4.0999999999999996</v>
      </c>
      <c r="C2268" s="11">
        <f t="shared" si="140"/>
        <v>4.0999999999999995E-2</v>
      </c>
      <c r="D2268">
        <f t="shared" si="141"/>
        <v>2014</v>
      </c>
      <c r="E2268" t="str">
        <f t="shared" si="142"/>
        <v>Sep-2014</v>
      </c>
      <c r="F2268" s="12">
        <f t="shared" si="143"/>
        <v>6.36</v>
      </c>
    </row>
    <row r="2269" spans="1:6" x14ac:dyDescent="0.25">
      <c r="A2269" s="1">
        <v>41893</v>
      </c>
      <c r="B2269">
        <v>4.12</v>
      </c>
      <c r="C2269" s="11">
        <f t="shared" si="140"/>
        <v>4.1200000000000001E-2</v>
      </c>
      <c r="D2269">
        <f t="shared" si="141"/>
        <v>2014</v>
      </c>
      <c r="E2269" t="str">
        <f t="shared" si="142"/>
        <v>Sep-2014</v>
      </c>
      <c r="F2269" s="12">
        <f t="shared" si="143"/>
        <v>6.36</v>
      </c>
    </row>
    <row r="2270" spans="1:6" x14ac:dyDescent="0.25">
      <c r="A2270" s="1">
        <v>41900</v>
      </c>
      <c r="B2270">
        <v>4.2300000000000004</v>
      </c>
      <c r="C2270" s="11">
        <f t="shared" si="140"/>
        <v>4.2300000000000004E-2</v>
      </c>
      <c r="D2270">
        <f t="shared" si="141"/>
        <v>2014</v>
      </c>
      <c r="E2270" t="str">
        <f t="shared" si="142"/>
        <v>Sep-2014</v>
      </c>
      <c r="F2270" s="12">
        <f t="shared" si="143"/>
        <v>6.36</v>
      </c>
    </row>
    <row r="2271" spans="1:6" x14ac:dyDescent="0.25">
      <c r="A2271" s="1">
        <v>41907</v>
      </c>
      <c r="B2271">
        <v>4.2</v>
      </c>
      <c r="C2271" s="11">
        <f t="shared" si="140"/>
        <v>4.2000000000000003E-2</v>
      </c>
      <c r="D2271">
        <f t="shared" si="141"/>
        <v>2014</v>
      </c>
      <c r="E2271" t="str">
        <f t="shared" si="142"/>
        <v>Sep-2014</v>
      </c>
      <c r="F2271" s="12">
        <f t="shared" si="143"/>
        <v>6.36</v>
      </c>
    </row>
    <row r="2272" spans="1:6" x14ac:dyDescent="0.25">
      <c r="A2272" s="1">
        <v>41914</v>
      </c>
      <c r="B2272">
        <v>4.1900000000000004</v>
      </c>
      <c r="C2272" s="11">
        <f t="shared" si="140"/>
        <v>4.1900000000000007E-2</v>
      </c>
      <c r="D2272">
        <f t="shared" si="141"/>
        <v>2014</v>
      </c>
      <c r="E2272" t="str">
        <f t="shared" si="142"/>
        <v>Oct-2014</v>
      </c>
      <c r="F2272" s="12">
        <f t="shared" si="143"/>
        <v>6.36</v>
      </c>
    </row>
    <row r="2273" spans="1:6" x14ac:dyDescent="0.25">
      <c r="A2273" s="1">
        <v>41921</v>
      </c>
      <c r="B2273">
        <v>4.12</v>
      </c>
      <c r="C2273" s="11">
        <f t="shared" si="140"/>
        <v>4.1200000000000001E-2</v>
      </c>
      <c r="D2273">
        <f t="shared" si="141"/>
        <v>2014</v>
      </c>
      <c r="E2273" t="str">
        <f t="shared" si="142"/>
        <v>Oct-2014</v>
      </c>
      <c r="F2273" s="12">
        <f t="shared" si="143"/>
        <v>6.36</v>
      </c>
    </row>
    <row r="2274" spans="1:6" x14ac:dyDescent="0.25">
      <c r="A2274" s="1">
        <v>41928</v>
      </c>
      <c r="B2274">
        <v>3.97</v>
      </c>
      <c r="C2274" s="11">
        <f t="shared" si="140"/>
        <v>3.9699999999999999E-2</v>
      </c>
      <c r="D2274">
        <f t="shared" si="141"/>
        <v>2014</v>
      </c>
      <c r="E2274" t="str">
        <f t="shared" si="142"/>
        <v>Oct-2014</v>
      </c>
      <c r="F2274" s="12">
        <f t="shared" si="143"/>
        <v>6.36</v>
      </c>
    </row>
    <row r="2275" spans="1:6" x14ac:dyDescent="0.25">
      <c r="A2275" s="1">
        <v>41935</v>
      </c>
      <c r="B2275">
        <v>3.92</v>
      </c>
      <c r="C2275" s="11">
        <f t="shared" si="140"/>
        <v>3.9199999999999999E-2</v>
      </c>
      <c r="D2275">
        <f t="shared" si="141"/>
        <v>2014</v>
      </c>
      <c r="E2275" t="str">
        <f t="shared" si="142"/>
        <v>Oct-2014</v>
      </c>
      <c r="F2275" s="12">
        <f t="shared" si="143"/>
        <v>6.36</v>
      </c>
    </row>
    <row r="2276" spans="1:6" x14ac:dyDescent="0.25">
      <c r="A2276" s="1">
        <v>41942</v>
      </c>
      <c r="B2276">
        <v>3.98</v>
      </c>
      <c r="C2276" s="11">
        <f t="shared" si="140"/>
        <v>3.9800000000000002E-2</v>
      </c>
      <c r="D2276">
        <f t="shared" si="141"/>
        <v>2014</v>
      </c>
      <c r="E2276" t="str">
        <f t="shared" si="142"/>
        <v>Oct-2014</v>
      </c>
      <c r="F2276" s="12">
        <f t="shared" si="143"/>
        <v>6.36</v>
      </c>
    </row>
    <row r="2277" spans="1:6" x14ac:dyDescent="0.25">
      <c r="A2277" s="1">
        <v>41949</v>
      </c>
      <c r="B2277">
        <v>4.0199999999999996</v>
      </c>
      <c r="C2277" s="11">
        <f t="shared" si="140"/>
        <v>4.0199999999999993E-2</v>
      </c>
      <c r="D2277">
        <f t="shared" si="141"/>
        <v>2014</v>
      </c>
      <c r="E2277" t="str">
        <f t="shared" si="142"/>
        <v>Nov-2014</v>
      </c>
      <c r="F2277" s="12">
        <f t="shared" si="143"/>
        <v>6.36</v>
      </c>
    </row>
    <row r="2278" spans="1:6" x14ac:dyDescent="0.25">
      <c r="A2278" s="1">
        <v>41956</v>
      </c>
      <c r="B2278">
        <v>4.01</v>
      </c>
      <c r="C2278" s="11">
        <f t="shared" si="140"/>
        <v>4.0099999999999997E-2</v>
      </c>
      <c r="D2278">
        <f t="shared" si="141"/>
        <v>2014</v>
      </c>
      <c r="E2278" t="str">
        <f t="shared" si="142"/>
        <v>Nov-2014</v>
      </c>
      <c r="F2278" s="12">
        <f t="shared" si="143"/>
        <v>6.36</v>
      </c>
    </row>
    <row r="2279" spans="1:6" x14ac:dyDescent="0.25">
      <c r="A2279" s="1">
        <v>41963</v>
      </c>
      <c r="B2279">
        <v>3.99</v>
      </c>
      <c r="C2279" s="11">
        <f t="shared" si="140"/>
        <v>3.9900000000000005E-2</v>
      </c>
      <c r="D2279">
        <f t="shared" si="141"/>
        <v>2014</v>
      </c>
      <c r="E2279" t="str">
        <f t="shared" si="142"/>
        <v>Nov-2014</v>
      </c>
      <c r="F2279" s="12">
        <f t="shared" si="143"/>
        <v>6.36</v>
      </c>
    </row>
    <row r="2280" spans="1:6" x14ac:dyDescent="0.25">
      <c r="A2280" s="1">
        <v>41969</v>
      </c>
      <c r="B2280">
        <v>3.97</v>
      </c>
      <c r="C2280" s="11">
        <f t="shared" si="140"/>
        <v>3.9699999999999999E-2</v>
      </c>
      <c r="D2280">
        <f t="shared" si="141"/>
        <v>2014</v>
      </c>
      <c r="E2280" t="str">
        <f t="shared" si="142"/>
        <v>Nov-2014</v>
      </c>
      <c r="F2280" s="12">
        <f t="shared" si="143"/>
        <v>6.36</v>
      </c>
    </row>
    <row r="2281" spans="1:6" x14ac:dyDescent="0.25">
      <c r="A2281" s="1">
        <v>41977</v>
      </c>
      <c r="B2281">
        <v>3.89</v>
      </c>
      <c r="C2281" s="11">
        <f t="shared" si="140"/>
        <v>3.8900000000000004E-2</v>
      </c>
      <c r="D2281">
        <f t="shared" si="141"/>
        <v>2014</v>
      </c>
      <c r="E2281" t="str">
        <f t="shared" si="142"/>
        <v>Dec-2014</v>
      </c>
      <c r="F2281" s="12">
        <f t="shared" si="143"/>
        <v>6.36</v>
      </c>
    </row>
    <row r="2282" spans="1:6" x14ac:dyDescent="0.25">
      <c r="A2282" s="1">
        <v>41984</v>
      </c>
      <c r="B2282">
        <v>3.93</v>
      </c>
      <c r="C2282" s="11">
        <f t="shared" si="140"/>
        <v>3.9300000000000002E-2</v>
      </c>
      <c r="D2282">
        <f t="shared" si="141"/>
        <v>2014</v>
      </c>
      <c r="E2282" t="str">
        <f t="shared" si="142"/>
        <v>Dec-2014</v>
      </c>
      <c r="F2282" s="12">
        <f t="shared" si="143"/>
        <v>6.36</v>
      </c>
    </row>
    <row r="2283" spans="1:6" x14ac:dyDescent="0.25">
      <c r="A2283" s="1">
        <v>41991</v>
      </c>
      <c r="B2283">
        <v>3.8</v>
      </c>
      <c r="C2283" s="11">
        <f t="shared" si="140"/>
        <v>3.7999999999999999E-2</v>
      </c>
      <c r="D2283">
        <f t="shared" si="141"/>
        <v>2014</v>
      </c>
      <c r="E2283" t="str">
        <f t="shared" si="142"/>
        <v>Dec-2014</v>
      </c>
      <c r="F2283" s="12">
        <f t="shared" si="143"/>
        <v>6.36</v>
      </c>
    </row>
    <row r="2284" spans="1:6" x14ac:dyDescent="0.25">
      <c r="A2284" s="1">
        <v>41997</v>
      </c>
      <c r="B2284">
        <v>3.83</v>
      </c>
      <c r="C2284" s="11">
        <f t="shared" si="140"/>
        <v>3.8300000000000001E-2</v>
      </c>
      <c r="D2284">
        <f t="shared" si="141"/>
        <v>2014</v>
      </c>
      <c r="E2284" t="str">
        <f t="shared" si="142"/>
        <v>Dec-2014</v>
      </c>
      <c r="F2284" s="12">
        <f t="shared" si="143"/>
        <v>6.36</v>
      </c>
    </row>
    <row r="2285" spans="1:6" x14ac:dyDescent="0.25">
      <c r="A2285" s="1">
        <v>42004</v>
      </c>
      <c r="B2285">
        <v>3.87</v>
      </c>
      <c r="C2285" s="11">
        <f t="shared" si="140"/>
        <v>3.8699999999999998E-2</v>
      </c>
      <c r="D2285">
        <f t="shared" si="141"/>
        <v>2014</v>
      </c>
      <c r="E2285" t="str">
        <f t="shared" si="142"/>
        <v>Dec-2014</v>
      </c>
      <c r="F2285" s="12">
        <f t="shared" si="143"/>
        <v>6.36</v>
      </c>
    </row>
    <row r="2286" spans="1:6" x14ac:dyDescent="0.25">
      <c r="A2286" s="1">
        <v>42012</v>
      </c>
      <c r="B2286">
        <v>3.73</v>
      </c>
      <c r="C2286" s="11">
        <f t="shared" si="140"/>
        <v>3.73E-2</v>
      </c>
      <c r="D2286">
        <f t="shared" si="141"/>
        <v>2015</v>
      </c>
      <c r="E2286" t="str">
        <f t="shared" si="142"/>
        <v>Jan-2015</v>
      </c>
      <c r="F2286" s="12">
        <f t="shared" si="143"/>
        <v>6.36</v>
      </c>
    </row>
    <row r="2287" spans="1:6" x14ac:dyDescent="0.25">
      <c r="A2287" s="1">
        <v>42019</v>
      </c>
      <c r="B2287">
        <v>3.66</v>
      </c>
      <c r="C2287" s="11">
        <f t="shared" si="140"/>
        <v>3.6600000000000001E-2</v>
      </c>
      <c r="D2287">
        <f t="shared" si="141"/>
        <v>2015</v>
      </c>
      <c r="E2287" t="str">
        <f t="shared" si="142"/>
        <v>Jan-2015</v>
      </c>
      <c r="F2287" s="12">
        <f t="shared" si="143"/>
        <v>6.36</v>
      </c>
    </row>
    <row r="2288" spans="1:6" x14ac:dyDescent="0.25">
      <c r="A2288" s="1">
        <v>42026</v>
      </c>
      <c r="B2288">
        <v>3.63</v>
      </c>
      <c r="C2288" s="11">
        <f t="shared" si="140"/>
        <v>3.6299999999999999E-2</v>
      </c>
      <c r="D2288">
        <f t="shared" si="141"/>
        <v>2015</v>
      </c>
      <c r="E2288" t="str">
        <f t="shared" si="142"/>
        <v>Jan-2015</v>
      </c>
      <c r="F2288" s="12">
        <f t="shared" si="143"/>
        <v>6.36</v>
      </c>
    </row>
    <row r="2289" spans="1:6" x14ac:dyDescent="0.25">
      <c r="A2289" s="1">
        <v>42033</v>
      </c>
      <c r="B2289">
        <v>3.66</v>
      </c>
      <c r="C2289" s="11">
        <f t="shared" si="140"/>
        <v>3.6600000000000001E-2</v>
      </c>
      <c r="D2289">
        <f t="shared" si="141"/>
        <v>2015</v>
      </c>
      <c r="E2289" t="str">
        <f t="shared" si="142"/>
        <v>Jan-2015</v>
      </c>
      <c r="F2289" s="12">
        <f t="shared" si="143"/>
        <v>6.36</v>
      </c>
    </row>
    <row r="2290" spans="1:6" x14ac:dyDescent="0.25">
      <c r="A2290" s="1">
        <v>42040</v>
      </c>
      <c r="B2290">
        <v>3.59</v>
      </c>
      <c r="C2290" s="11">
        <f t="shared" si="140"/>
        <v>3.5900000000000001E-2</v>
      </c>
      <c r="D2290">
        <f t="shared" si="141"/>
        <v>2015</v>
      </c>
      <c r="E2290" t="str">
        <f t="shared" si="142"/>
        <v>Feb-2015</v>
      </c>
      <c r="F2290" s="12">
        <f t="shared" si="143"/>
        <v>6.36</v>
      </c>
    </row>
    <row r="2291" spans="1:6" x14ac:dyDescent="0.25">
      <c r="A2291" s="1">
        <v>42047</v>
      </c>
      <c r="B2291">
        <v>3.69</v>
      </c>
      <c r="C2291" s="11">
        <f t="shared" si="140"/>
        <v>3.6900000000000002E-2</v>
      </c>
      <c r="D2291">
        <f t="shared" si="141"/>
        <v>2015</v>
      </c>
      <c r="E2291" t="str">
        <f t="shared" si="142"/>
        <v>Feb-2015</v>
      </c>
      <c r="F2291" s="12">
        <f t="shared" si="143"/>
        <v>6.36</v>
      </c>
    </row>
    <row r="2292" spans="1:6" x14ac:dyDescent="0.25">
      <c r="A2292" s="1">
        <v>42054</v>
      </c>
      <c r="B2292">
        <v>3.76</v>
      </c>
      <c r="C2292" s="11">
        <f t="shared" si="140"/>
        <v>3.7599999999999995E-2</v>
      </c>
      <c r="D2292">
        <f t="shared" si="141"/>
        <v>2015</v>
      </c>
      <c r="E2292" t="str">
        <f t="shared" si="142"/>
        <v>Feb-2015</v>
      </c>
      <c r="F2292" s="12">
        <f t="shared" si="143"/>
        <v>6.36</v>
      </c>
    </row>
    <row r="2293" spans="1:6" x14ac:dyDescent="0.25">
      <c r="A2293" s="1">
        <v>42061</v>
      </c>
      <c r="B2293">
        <v>3.8</v>
      </c>
      <c r="C2293" s="11">
        <f t="shared" si="140"/>
        <v>3.7999999999999999E-2</v>
      </c>
      <c r="D2293">
        <f t="shared" si="141"/>
        <v>2015</v>
      </c>
      <c r="E2293" t="str">
        <f t="shared" si="142"/>
        <v>Feb-2015</v>
      </c>
      <c r="F2293" s="12">
        <f t="shared" si="143"/>
        <v>6.36</v>
      </c>
    </row>
    <row r="2294" spans="1:6" x14ac:dyDescent="0.25">
      <c r="A2294" s="1">
        <v>42068</v>
      </c>
      <c r="B2294">
        <v>3.75</v>
      </c>
      <c r="C2294" s="11">
        <f t="shared" si="140"/>
        <v>3.7499999999999999E-2</v>
      </c>
      <c r="D2294">
        <f t="shared" si="141"/>
        <v>2015</v>
      </c>
      <c r="E2294" t="str">
        <f t="shared" si="142"/>
        <v>Mar-2015</v>
      </c>
      <c r="F2294" s="12">
        <f t="shared" si="143"/>
        <v>6.36</v>
      </c>
    </row>
    <row r="2295" spans="1:6" x14ac:dyDescent="0.25">
      <c r="A2295" s="1">
        <v>42075</v>
      </c>
      <c r="B2295">
        <v>3.86</v>
      </c>
      <c r="C2295" s="11">
        <f t="shared" si="140"/>
        <v>3.8599999999999995E-2</v>
      </c>
      <c r="D2295">
        <f t="shared" si="141"/>
        <v>2015</v>
      </c>
      <c r="E2295" t="str">
        <f t="shared" si="142"/>
        <v>Mar-2015</v>
      </c>
      <c r="F2295" s="12">
        <f t="shared" si="143"/>
        <v>6.36</v>
      </c>
    </row>
    <row r="2296" spans="1:6" x14ac:dyDescent="0.25">
      <c r="A2296" s="1">
        <v>42082</v>
      </c>
      <c r="B2296">
        <v>3.78</v>
      </c>
      <c r="C2296" s="11">
        <f t="shared" si="140"/>
        <v>3.78E-2</v>
      </c>
      <c r="D2296">
        <f t="shared" si="141"/>
        <v>2015</v>
      </c>
      <c r="E2296" t="str">
        <f t="shared" si="142"/>
        <v>Mar-2015</v>
      </c>
      <c r="F2296" s="12">
        <f t="shared" si="143"/>
        <v>6.36</v>
      </c>
    </row>
    <row r="2297" spans="1:6" x14ac:dyDescent="0.25">
      <c r="A2297" s="1">
        <v>42089</v>
      </c>
      <c r="B2297">
        <v>3.69</v>
      </c>
      <c r="C2297" s="11">
        <f t="shared" si="140"/>
        <v>3.6900000000000002E-2</v>
      </c>
      <c r="D2297">
        <f t="shared" si="141"/>
        <v>2015</v>
      </c>
      <c r="E2297" t="str">
        <f t="shared" si="142"/>
        <v>Mar-2015</v>
      </c>
      <c r="F2297" s="12">
        <f t="shared" si="143"/>
        <v>6.36</v>
      </c>
    </row>
    <row r="2298" spans="1:6" x14ac:dyDescent="0.25">
      <c r="A2298" s="1">
        <v>42096</v>
      </c>
      <c r="B2298">
        <v>3.7</v>
      </c>
      <c r="C2298" s="11">
        <f t="shared" si="140"/>
        <v>3.7000000000000005E-2</v>
      </c>
      <c r="D2298">
        <f t="shared" si="141"/>
        <v>2015</v>
      </c>
      <c r="E2298" t="str">
        <f t="shared" si="142"/>
        <v>Apr-2015</v>
      </c>
      <c r="F2298" s="12">
        <f t="shared" si="143"/>
        <v>6.36</v>
      </c>
    </row>
    <row r="2299" spans="1:6" x14ac:dyDescent="0.25">
      <c r="A2299" s="1">
        <v>42103</v>
      </c>
      <c r="B2299">
        <v>3.66</v>
      </c>
      <c r="C2299" s="11">
        <f t="shared" si="140"/>
        <v>3.6600000000000001E-2</v>
      </c>
      <c r="D2299">
        <f t="shared" si="141"/>
        <v>2015</v>
      </c>
      <c r="E2299" t="str">
        <f t="shared" si="142"/>
        <v>Apr-2015</v>
      </c>
      <c r="F2299" s="12">
        <f t="shared" si="143"/>
        <v>6.36</v>
      </c>
    </row>
    <row r="2300" spans="1:6" x14ac:dyDescent="0.25">
      <c r="A2300" s="1">
        <v>42110</v>
      </c>
      <c r="B2300">
        <v>3.67</v>
      </c>
      <c r="C2300" s="11">
        <f t="shared" si="140"/>
        <v>3.6699999999999997E-2</v>
      </c>
      <c r="D2300">
        <f t="shared" si="141"/>
        <v>2015</v>
      </c>
      <c r="E2300" t="str">
        <f t="shared" si="142"/>
        <v>Apr-2015</v>
      </c>
      <c r="F2300" s="12">
        <f t="shared" si="143"/>
        <v>6.36</v>
      </c>
    </row>
    <row r="2301" spans="1:6" x14ac:dyDescent="0.25">
      <c r="A2301" s="1">
        <v>42117</v>
      </c>
      <c r="B2301">
        <v>3.65</v>
      </c>
      <c r="C2301" s="11">
        <f t="shared" si="140"/>
        <v>3.6499999999999998E-2</v>
      </c>
      <c r="D2301">
        <f t="shared" si="141"/>
        <v>2015</v>
      </c>
      <c r="E2301" t="str">
        <f t="shared" si="142"/>
        <v>Apr-2015</v>
      </c>
      <c r="F2301" s="12">
        <f t="shared" si="143"/>
        <v>6.36</v>
      </c>
    </row>
    <row r="2302" spans="1:6" x14ac:dyDescent="0.25">
      <c r="A2302" s="1">
        <v>42124</v>
      </c>
      <c r="B2302">
        <v>3.68</v>
      </c>
      <c r="C2302" s="11">
        <f t="shared" si="140"/>
        <v>3.6799999999999999E-2</v>
      </c>
      <c r="D2302">
        <f t="shared" si="141"/>
        <v>2015</v>
      </c>
      <c r="E2302" t="str">
        <f t="shared" si="142"/>
        <v>Apr-2015</v>
      </c>
      <c r="F2302" s="12">
        <f t="shared" si="143"/>
        <v>6.36</v>
      </c>
    </row>
    <row r="2303" spans="1:6" x14ac:dyDescent="0.25">
      <c r="A2303" s="1">
        <v>42131</v>
      </c>
      <c r="B2303">
        <v>3.8</v>
      </c>
      <c r="C2303" s="11">
        <f t="shared" si="140"/>
        <v>3.7999999999999999E-2</v>
      </c>
      <c r="D2303">
        <f t="shared" si="141"/>
        <v>2015</v>
      </c>
      <c r="E2303" t="str">
        <f t="shared" si="142"/>
        <v>May-2015</v>
      </c>
      <c r="F2303" s="12">
        <f t="shared" si="143"/>
        <v>6.36</v>
      </c>
    </row>
    <row r="2304" spans="1:6" x14ac:dyDescent="0.25">
      <c r="A2304" s="1">
        <v>42138</v>
      </c>
      <c r="B2304">
        <v>3.85</v>
      </c>
      <c r="C2304" s="11">
        <f t="shared" si="140"/>
        <v>3.85E-2</v>
      </c>
      <c r="D2304">
        <f t="shared" si="141"/>
        <v>2015</v>
      </c>
      <c r="E2304" t="str">
        <f t="shared" si="142"/>
        <v>May-2015</v>
      </c>
      <c r="F2304" s="12">
        <f t="shared" si="143"/>
        <v>6.36</v>
      </c>
    </row>
    <row r="2305" spans="1:6" x14ac:dyDescent="0.25">
      <c r="A2305" s="1">
        <v>42145</v>
      </c>
      <c r="B2305">
        <v>3.84</v>
      </c>
      <c r="C2305" s="11">
        <f t="shared" si="140"/>
        <v>3.8399999999999997E-2</v>
      </c>
      <c r="D2305">
        <f t="shared" si="141"/>
        <v>2015</v>
      </c>
      <c r="E2305" t="str">
        <f t="shared" si="142"/>
        <v>May-2015</v>
      </c>
      <c r="F2305" s="12">
        <f t="shared" si="143"/>
        <v>6.36</v>
      </c>
    </row>
    <row r="2306" spans="1:6" x14ac:dyDescent="0.25">
      <c r="A2306" s="1">
        <v>42152</v>
      </c>
      <c r="B2306">
        <v>3.87</v>
      </c>
      <c r="C2306" s="11">
        <f t="shared" ref="C2306:C2369" si="144">B2306/100</f>
        <v>3.8699999999999998E-2</v>
      </c>
      <c r="D2306">
        <f t="shared" ref="D2306:D2369" si="145">YEAR(A2306)</f>
        <v>2015</v>
      </c>
      <c r="E2306" t="str">
        <f t="shared" ref="E2306:E2369" si="146">TEXT(A2306,"MMM-YYYY")</f>
        <v>May-2015</v>
      </c>
      <c r="F2306" s="12">
        <f t="shared" ref="F2306:F2369" si="147">$H$2</f>
        <v>6.36</v>
      </c>
    </row>
    <row r="2307" spans="1:6" x14ac:dyDescent="0.25">
      <c r="A2307" s="1">
        <v>42159</v>
      </c>
      <c r="B2307">
        <v>3.87</v>
      </c>
      <c r="C2307" s="11">
        <f t="shared" si="144"/>
        <v>3.8699999999999998E-2</v>
      </c>
      <c r="D2307">
        <f t="shared" si="145"/>
        <v>2015</v>
      </c>
      <c r="E2307" t="str">
        <f t="shared" si="146"/>
        <v>Jun-2015</v>
      </c>
      <c r="F2307" s="12">
        <f t="shared" si="147"/>
        <v>6.36</v>
      </c>
    </row>
    <row r="2308" spans="1:6" x14ac:dyDescent="0.25">
      <c r="A2308" s="1">
        <v>42166</v>
      </c>
      <c r="B2308">
        <v>4.04</v>
      </c>
      <c r="C2308" s="11">
        <f t="shared" si="144"/>
        <v>4.0399999999999998E-2</v>
      </c>
      <c r="D2308">
        <f t="shared" si="145"/>
        <v>2015</v>
      </c>
      <c r="E2308" t="str">
        <f t="shared" si="146"/>
        <v>Jun-2015</v>
      </c>
      <c r="F2308" s="12">
        <f t="shared" si="147"/>
        <v>6.36</v>
      </c>
    </row>
    <row r="2309" spans="1:6" x14ac:dyDescent="0.25">
      <c r="A2309" s="1">
        <v>42173</v>
      </c>
      <c r="B2309">
        <v>4</v>
      </c>
      <c r="C2309" s="11">
        <f t="shared" si="144"/>
        <v>0.04</v>
      </c>
      <c r="D2309">
        <f t="shared" si="145"/>
        <v>2015</v>
      </c>
      <c r="E2309" t="str">
        <f t="shared" si="146"/>
        <v>Jun-2015</v>
      </c>
      <c r="F2309" s="12">
        <f t="shared" si="147"/>
        <v>6.36</v>
      </c>
    </row>
    <row r="2310" spans="1:6" x14ac:dyDescent="0.25">
      <c r="A2310" s="1">
        <v>42180</v>
      </c>
      <c r="B2310">
        <v>4.0199999999999996</v>
      </c>
      <c r="C2310" s="11">
        <f t="shared" si="144"/>
        <v>4.0199999999999993E-2</v>
      </c>
      <c r="D2310">
        <f t="shared" si="145"/>
        <v>2015</v>
      </c>
      <c r="E2310" t="str">
        <f t="shared" si="146"/>
        <v>Jun-2015</v>
      </c>
      <c r="F2310" s="12">
        <f t="shared" si="147"/>
        <v>6.36</v>
      </c>
    </row>
    <row r="2311" spans="1:6" x14ac:dyDescent="0.25">
      <c r="A2311" s="1">
        <v>42187</v>
      </c>
      <c r="B2311">
        <v>4.08</v>
      </c>
      <c r="C2311" s="11">
        <f t="shared" si="144"/>
        <v>4.0800000000000003E-2</v>
      </c>
      <c r="D2311">
        <f t="shared" si="145"/>
        <v>2015</v>
      </c>
      <c r="E2311" t="str">
        <f t="shared" si="146"/>
        <v>Jul-2015</v>
      </c>
      <c r="F2311" s="12">
        <f t="shared" si="147"/>
        <v>6.36</v>
      </c>
    </row>
    <row r="2312" spans="1:6" x14ac:dyDescent="0.25">
      <c r="A2312" s="1">
        <v>42194</v>
      </c>
      <c r="B2312">
        <v>4.04</v>
      </c>
      <c r="C2312" s="11">
        <f t="shared" si="144"/>
        <v>4.0399999999999998E-2</v>
      </c>
      <c r="D2312">
        <f t="shared" si="145"/>
        <v>2015</v>
      </c>
      <c r="E2312" t="str">
        <f t="shared" si="146"/>
        <v>Jul-2015</v>
      </c>
      <c r="F2312" s="12">
        <f t="shared" si="147"/>
        <v>6.36</v>
      </c>
    </row>
    <row r="2313" spans="1:6" x14ac:dyDescent="0.25">
      <c r="A2313" s="1">
        <v>42201</v>
      </c>
      <c r="B2313">
        <v>4.09</v>
      </c>
      <c r="C2313" s="11">
        <f t="shared" si="144"/>
        <v>4.0899999999999999E-2</v>
      </c>
      <c r="D2313">
        <f t="shared" si="145"/>
        <v>2015</v>
      </c>
      <c r="E2313" t="str">
        <f t="shared" si="146"/>
        <v>Jul-2015</v>
      </c>
      <c r="F2313" s="12">
        <f t="shared" si="147"/>
        <v>6.36</v>
      </c>
    </row>
    <row r="2314" spans="1:6" x14ac:dyDescent="0.25">
      <c r="A2314" s="1">
        <v>42208</v>
      </c>
      <c r="B2314">
        <v>4.04</v>
      </c>
      <c r="C2314" s="11">
        <f t="shared" si="144"/>
        <v>4.0399999999999998E-2</v>
      </c>
      <c r="D2314">
        <f t="shared" si="145"/>
        <v>2015</v>
      </c>
      <c r="E2314" t="str">
        <f t="shared" si="146"/>
        <v>Jul-2015</v>
      </c>
      <c r="F2314" s="12">
        <f t="shared" si="147"/>
        <v>6.36</v>
      </c>
    </row>
    <row r="2315" spans="1:6" x14ac:dyDescent="0.25">
      <c r="A2315" s="1">
        <v>42215</v>
      </c>
      <c r="B2315">
        <v>3.98</v>
      </c>
      <c r="C2315" s="11">
        <f t="shared" si="144"/>
        <v>3.9800000000000002E-2</v>
      </c>
      <c r="D2315">
        <f t="shared" si="145"/>
        <v>2015</v>
      </c>
      <c r="E2315" t="str">
        <f t="shared" si="146"/>
        <v>Jul-2015</v>
      </c>
      <c r="F2315" s="12">
        <f t="shared" si="147"/>
        <v>6.36</v>
      </c>
    </row>
    <row r="2316" spans="1:6" x14ac:dyDescent="0.25">
      <c r="A2316" s="1">
        <v>42222</v>
      </c>
      <c r="B2316">
        <v>3.91</v>
      </c>
      <c r="C2316" s="11">
        <f t="shared" si="144"/>
        <v>3.9100000000000003E-2</v>
      </c>
      <c r="D2316">
        <f t="shared" si="145"/>
        <v>2015</v>
      </c>
      <c r="E2316" t="str">
        <f t="shared" si="146"/>
        <v>Aug-2015</v>
      </c>
      <c r="F2316" s="12">
        <f t="shared" si="147"/>
        <v>6.36</v>
      </c>
    </row>
    <row r="2317" spans="1:6" x14ac:dyDescent="0.25">
      <c r="A2317" s="1">
        <v>42229</v>
      </c>
      <c r="B2317">
        <v>3.94</v>
      </c>
      <c r="C2317" s="11">
        <f t="shared" si="144"/>
        <v>3.9399999999999998E-2</v>
      </c>
      <c r="D2317">
        <f t="shared" si="145"/>
        <v>2015</v>
      </c>
      <c r="E2317" t="str">
        <f t="shared" si="146"/>
        <v>Aug-2015</v>
      </c>
      <c r="F2317" s="12">
        <f t="shared" si="147"/>
        <v>6.36</v>
      </c>
    </row>
    <row r="2318" spans="1:6" x14ac:dyDescent="0.25">
      <c r="A2318" s="1">
        <v>42236</v>
      </c>
      <c r="B2318">
        <v>3.93</v>
      </c>
      <c r="C2318" s="11">
        <f t="shared" si="144"/>
        <v>3.9300000000000002E-2</v>
      </c>
      <c r="D2318">
        <f t="shared" si="145"/>
        <v>2015</v>
      </c>
      <c r="E2318" t="str">
        <f t="shared" si="146"/>
        <v>Aug-2015</v>
      </c>
      <c r="F2318" s="12">
        <f t="shared" si="147"/>
        <v>6.36</v>
      </c>
    </row>
    <row r="2319" spans="1:6" x14ac:dyDescent="0.25">
      <c r="A2319" s="1">
        <v>42243</v>
      </c>
      <c r="B2319">
        <v>3.84</v>
      </c>
      <c r="C2319" s="11">
        <f t="shared" si="144"/>
        <v>3.8399999999999997E-2</v>
      </c>
      <c r="D2319">
        <f t="shared" si="145"/>
        <v>2015</v>
      </c>
      <c r="E2319" t="str">
        <f t="shared" si="146"/>
        <v>Aug-2015</v>
      </c>
      <c r="F2319" s="12">
        <f t="shared" si="147"/>
        <v>6.36</v>
      </c>
    </row>
    <row r="2320" spans="1:6" x14ac:dyDescent="0.25">
      <c r="A2320" s="1">
        <v>42250</v>
      </c>
      <c r="B2320">
        <v>3.89</v>
      </c>
      <c r="C2320" s="11">
        <f t="shared" si="144"/>
        <v>3.8900000000000004E-2</v>
      </c>
      <c r="D2320">
        <f t="shared" si="145"/>
        <v>2015</v>
      </c>
      <c r="E2320" t="str">
        <f t="shared" si="146"/>
        <v>Sep-2015</v>
      </c>
      <c r="F2320" s="12">
        <f t="shared" si="147"/>
        <v>6.36</v>
      </c>
    </row>
    <row r="2321" spans="1:6" x14ac:dyDescent="0.25">
      <c r="A2321" s="1">
        <v>42257</v>
      </c>
      <c r="B2321">
        <v>3.9</v>
      </c>
      <c r="C2321" s="11">
        <f t="shared" si="144"/>
        <v>3.9E-2</v>
      </c>
      <c r="D2321">
        <f t="shared" si="145"/>
        <v>2015</v>
      </c>
      <c r="E2321" t="str">
        <f t="shared" si="146"/>
        <v>Sep-2015</v>
      </c>
      <c r="F2321" s="12">
        <f t="shared" si="147"/>
        <v>6.36</v>
      </c>
    </row>
    <row r="2322" spans="1:6" x14ac:dyDescent="0.25">
      <c r="A2322" s="1">
        <v>42264</v>
      </c>
      <c r="B2322">
        <v>3.91</v>
      </c>
      <c r="C2322" s="11">
        <f t="shared" si="144"/>
        <v>3.9100000000000003E-2</v>
      </c>
      <c r="D2322">
        <f t="shared" si="145"/>
        <v>2015</v>
      </c>
      <c r="E2322" t="str">
        <f t="shared" si="146"/>
        <v>Sep-2015</v>
      </c>
      <c r="F2322" s="12">
        <f t="shared" si="147"/>
        <v>6.36</v>
      </c>
    </row>
    <row r="2323" spans="1:6" x14ac:dyDescent="0.25">
      <c r="A2323" s="1">
        <v>42271</v>
      </c>
      <c r="B2323">
        <v>3.86</v>
      </c>
      <c r="C2323" s="11">
        <f t="shared" si="144"/>
        <v>3.8599999999999995E-2</v>
      </c>
      <c r="D2323">
        <f t="shared" si="145"/>
        <v>2015</v>
      </c>
      <c r="E2323" t="str">
        <f t="shared" si="146"/>
        <v>Sep-2015</v>
      </c>
      <c r="F2323" s="12">
        <f t="shared" si="147"/>
        <v>6.36</v>
      </c>
    </row>
    <row r="2324" spans="1:6" x14ac:dyDescent="0.25">
      <c r="A2324" s="1">
        <v>42278</v>
      </c>
      <c r="B2324">
        <v>3.85</v>
      </c>
      <c r="C2324" s="11">
        <f t="shared" si="144"/>
        <v>3.85E-2</v>
      </c>
      <c r="D2324">
        <f t="shared" si="145"/>
        <v>2015</v>
      </c>
      <c r="E2324" t="str">
        <f t="shared" si="146"/>
        <v>Oct-2015</v>
      </c>
      <c r="F2324" s="12">
        <f t="shared" si="147"/>
        <v>6.36</v>
      </c>
    </row>
    <row r="2325" spans="1:6" x14ac:dyDescent="0.25">
      <c r="A2325" s="1">
        <v>42285</v>
      </c>
      <c r="B2325">
        <v>3.76</v>
      </c>
      <c r="C2325" s="11">
        <f t="shared" si="144"/>
        <v>3.7599999999999995E-2</v>
      </c>
      <c r="D2325">
        <f t="shared" si="145"/>
        <v>2015</v>
      </c>
      <c r="E2325" t="str">
        <f t="shared" si="146"/>
        <v>Oct-2015</v>
      </c>
      <c r="F2325" s="12">
        <f t="shared" si="147"/>
        <v>6.36</v>
      </c>
    </row>
    <row r="2326" spans="1:6" x14ac:dyDescent="0.25">
      <c r="A2326" s="1">
        <v>42292</v>
      </c>
      <c r="B2326">
        <v>3.82</v>
      </c>
      <c r="C2326" s="11">
        <f t="shared" si="144"/>
        <v>3.8199999999999998E-2</v>
      </c>
      <c r="D2326">
        <f t="shared" si="145"/>
        <v>2015</v>
      </c>
      <c r="E2326" t="str">
        <f t="shared" si="146"/>
        <v>Oct-2015</v>
      </c>
      <c r="F2326" s="12">
        <f t="shared" si="147"/>
        <v>6.36</v>
      </c>
    </row>
    <row r="2327" spans="1:6" x14ac:dyDescent="0.25">
      <c r="A2327" s="1">
        <v>42299</v>
      </c>
      <c r="B2327">
        <v>3.79</v>
      </c>
      <c r="C2327" s="11">
        <f t="shared" si="144"/>
        <v>3.7900000000000003E-2</v>
      </c>
      <c r="D2327">
        <f t="shared" si="145"/>
        <v>2015</v>
      </c>
      <c r="E2327" t="str">
        <f t="shared" si="146"/>
        <v>Oct-2015</v>
      </c>
      <c r="F2327" s="12">
        <f t="shared" si="147"/>
        <v>6.36</v>
      </c>
    </row>
    <row r="2328" spans="1:6" x14ac:dyDescent="0.25">
      <c r="A2328" s="1">
        <v>42306</v>
      </c>
      <c r="B2328">
        <v>3.76</v>
      </c>
      <c r="C2328" s="11">
        <f t="shared" si="144"/>
        <v>3.7599999999999995E-2</v>
      </c>
      <c r="D2328">
        <f t="shared" si="145"/>
        <v>2015</v>
      </c>
      <c r="E2328" t="str">
        <f t="shared" si="146"/>
        <v>Oct-2015</v>
      </c>
      <c r="F2328" s="12">
        <f t="shared" si="147"/>
        <v>6.36</v>
      </c>
    </row>
    <row r="2329" spans="1:6" x14ac:dyDescent="0.25">
      <c r="A2329" s="1">
        <v>42313</v>
      </c>
      <c r="B2329">
        <v>3.87</v>
      </c>
      <c r="C2329" s="11">
        <f t="shared" si="144"/>
        <v>3.8699999999999998E-2</v>
      </c>
      <c r="D2329">
        <f t="shared" si="145"/>
        <v>2015</v>
      </c>
      <c r="E2329" t="str">
        <f t="shared" si="146"/>
        <v>Nov-2015</v>
      </c>
      <c r="F2329" s="12">
        <f t="shared" si="147"/>
        <v>6.36</v>
      </c>
    </row>
    <row r="2330" spans="1:6" x14ac:dyDescent="0.25">
      <c r="A2330" s="1">
        <v>42320</v>
      </c>
      <c r="B2330">
        <v>3.98</v>
      </c>
      <c r="C2330" s="11">
        <f t="shared" si="144"/>
        <v>3.9800000000000002E-2</v>
      </c>
      <c r="D2330">
        <f t="shared" si="145"/>
        <v>2015</v>
      </c>
      <c r="E2330" t="str">
        <f t="shared" si="146"/>
        <v>Nov-2015</v>
      </c>
      <c r="F2330" s="12">
        <f t="shared" si="147"/>
        <v>6.36</v>
      </c>
    </row>
    <row r="2331" spans="1:6" x14ac:dyDescent="0.25">
      <c r="A2331" s="1">
        <v>42327</v>
      </c>
      <c r="B2331">
        <v>3.97</v>
      </c>
      <c r="C2331" s="11">
        <f t="shared" si="144"/>
        <v>3.9699999999999999E-2</v>
      </c>
      <c r="D2331">
        <f t="shared" si="145"/>
        <v>2015</v>
      </c>
      <c r="E2331" t="str">
        <f t="shared" si="146"/>
        <v>Nov-2015</v>
      </c>
      <c r="F2331" s="12">
        <f t="shared" si="147"/>
        <v>6.36</v>
      </c>
    </row>
    <row r="2332" spans="1:6" x14ac:dyDescent="0.25">
      <c r="A2332" s="1">
        <v>42333</v>
      </c>
      <c r="B2332">
        <v>3.95</v>
      </c>
      <c r="C2332" s="11">
        <f t="shared" si="144"/>
        <v>3.95E-2</v>
      </c>
      <c r="D2332">
        <f t="shared" si="145"/>
        <v>2015</v>
      </c>
      <c r="E2332" t="str">
        <f t="shared" si="146"/>
        <v>Nov-2015</v>
      </c>
      <c r="F2332" s="12">
        <f t="shared" si="147"/>
        <v>6.36</v>
      </c>
    </row>
    <row r="2333" spans="1:6" x14ac:dyDescent="0.25">
      <c r="A2333" s="1">
        <v>42341</v>
      </c>
      <c r="B2333">
        <v>3.93</v>
      </c>
      <c r="C2333" s="11">
        <f t="shared" si="144"/>
        <v>3.9300000000000002E-2</v>
      </c>
      <c r="D2333">
        <f t="shared" si="145"/>
        <v>2015</v>
      </c>
      <c r="E2333" t="str">
        <f t="shared" si="146"/>
        <v>Dec-2015</v>
      </c>
      <c r="F2333" s="12">
        <f t="shared" si="147"/>
        <v>6.36</v>
      </c>
    </row>
    <row r="2334" spans="1:6" x14ac:dyDescent="0.25">
      <c r="A2334" s="1">
        <v>42348</v>
      </c>
      <c r="B2334">
        <v>3.95</v>
      </c>
      <c r="C2334" s="11">
        <f t="shared" si="144"/>
        <v>3.95E-2</v>
      </c>
      <c r="D2334">
        <f t="shared" si="145"/>
        <v>2015</v>
      </c>
      <c r="E2334" t="str">
        <f t="shared" si="146"/>
        <v>Dec-2015</v>
      </c>
      <c r="F2334" s="12">
        <f t="shared" si="147"/>
        <v>6.36</v>
      </c>
    </row>
    <row r="2335" spans="1:6" x14ac:dyDescent="0.25">
      <c r="A2335" s="1">
        <v>42355</v>
      </c>
      <c r="B2335">
        <v>3.97</v>
      </c>
      <c r="C2335" s="11">
        <f t="shared" si="144"/>
        <v>3.9699999999999999E-2</v>
      </c>
      <c r="D2335">
        <f t="shared" si="145"/>
        <v>2015</v>
      </c>
      <c r="E2335" t="str">
        <f t="shared" si="146"/>
        <v>Dec-2015</v>
      </c>
      <c r="F2335" s="12">
        <f t="shared" si="147"/>
        <v>6.36</v>
      </c>
    </row>
    <row r="2336" spans="1:6" x14ac:dyDescent="0.25">
      <c r="A2336" s="1">
        <v>42362</v>
      </c>
      <c r="B2336">
        <v>3.96</v>
      </c>
      <c r="C2336" s="11">
        <f t="shared" si="144"/>
        <v>3.9599999999999996E-2</v>
      </c>
      <c r="D2336">
        <f t="shared" si="145"/>
        <v>2015</v>
      </c>
      <c r="E2336" t="str">
        <f t="shared" si="146"/>
        <v>Dec-2015</v>
      </c>
      <c r="F2336" s="12">
        <f t="shared" si="147"/>
        <v>6.36</v>
      </c>
    </row>
    <row r="2337" spans="1:6" x14ac:dyDescent="0.25">
      <c r="A2337" s="1">
        <v>42369</v>
      </c>
      <c r="B2337">
        <v>4.01</v>
      </c>
      <c r="C2337" s="11">
        <f t="shared" si="144"/>
        <v>4.0099999999999997E-2</v>
      </c>
      <c r="D2337">
        <f t="shared" si="145"/>
        <v>2015</v>
      </c>
      <c r="E2337" t="str">
        <f t="shared" si="146"/>
        <v>Dec-2015</v>
      </c>
      <c r="F2337" s="12">
        <f t="shared" si="147"/>
        <v>6.36</v>
      </c>
    </row>
    <row r="2338" spans="1:6" x14ac:dyDescent="0.25">
      <c r="A2338" s="1">
        <v>42376</v>
      </c>
      <c r="B2338">
        <v>3.97</v>
      </c>
      <c r="C2338" s="11">
        <f t="shared" si="144"/>
        <v>3.9699999999999999E-2</v>
      </c>
      <c r="D2338">
        <f t="shared" si="145"/>
        <v>2016</v>
      </c>
      <c r="E2338" t="str">
        <f t="shared" si="146"/>
        <v>Jan-2016</v>
      </c>
      <c r="F2338" s="12">
        <f t="shared" si="147"/>
        <v>6.36</v>
      </c>
    </row>
    <row r="2339" spans="1:6" x14ac:dyDescent="0.25">
      <c r="A2339" s="1">
        <v>42383</v>
      </c>
      <c r="B2339">
        <v>3.92</v>
      </c>
      <c r="C2339" s="11">
        <f t="shared" si="144"/>
        <v>3.9199999999999999E-2</v>
      </c>
      <c r="D2339">
        <f t="shared" si="145"/>
        <v>2016</v>
      </c>
      <c r="E2339" t="str">
        <f t="shared" si="146"/>
        <v>Jan-2016</v>
      </c>
      <c r="F2339" s="12">
        <f t="shared" si="147"/>
        <v>6.36</v>
      </c>
    </row>
    <row r="2340" spans="1:6" x14ac:dyDescent="0.25">
      <c r="A2340" s="1">
        <v>42390</v>
      </c>
      <c r="B2340">
        <v>3.81</v>
      </c>
      <c r="C2340" s="11">
        <f t="shared" si="144"/>
        <v>3.8100000000000002E-2</v>
      </c>
      <c r="D2340">
        <f t="shared" si="145"/>
        <v>2016</v>
      </c>
      <c r="E2340" t="str">
        <f t="shared" si="146"/>
        <v>Jan-2016</v>
      </c>
      <c r="F2340" s="12">
        <f t="shared" si="147"/>
        <v>6.36</v>
      </c>
    </row>
    <row r="2341" spans="1:6" x14ac:dyDescent="0.25">
      <c r="A2341" s="1">
        <v>42397</v>
      </c>
      <c r="B2341">
        <v>3.79</v>
      </c>
      <c r="C2341" s="11">
        <f t="shared" si="144"/>
        <v>3.7900000000000003E-2</v>
      </c>
      <c r="D2341">
        <f t="shared" si="145"/>
        <v>2016</v>
      </c>
      <c r="E2341" t="str">
        <f t="shared" si="146"/>
        <v>Jan-2016</v>
      </c>
      <c r="F2341" s="12">
        <f t="shared" si="147"/>
        <v>6.36</v>
      </c>
    </row>
    <row r="2342" spans="1:6" x14ac:dyDescent="0.25">
      <c r="A2342" s="1">
        <v>42404</v>
      </c>
      <c r="B2342">
        <v>3.72</v>
      </c>
      <c r="C2342" s="11">
        <f t="shared" si="144"/>
        <v>3.7200000000000004E-2</v>
      </c>
      <c r="D2342">
        <f t="shared" si="145"/>
        <v>2016</v>
      </c>
      <c r="E2342" t="str">
        <f t="shared" si="146"/>
        <v>Feb-2016</v>
      </c>
      <c r="F2342" s="12">
        <f t="shared" si="147"/>
        <v>6.36</v>
      </c>
    </row>
    <row r="2343" spans="1:6" x14ac:dyDescent="0.25">
      <c r="A2343" s="1">
        <v>42411</v>
      </c>
      <c r="B2343">
        <v>3.65</v>
      </c>
      <c r="C2343" s="11">
        <f t="shared" si="144"/>
        <v>3.6499999999999998E-2</v>
      </c>
      <c r="D2343">
        <f t="shared" si="145"/>
        <v>2016</v>
      </c>
      <c r="E2343" t="str">
        <f t="shared" si="146"/>
        <v>Feb-2016</v>
      </c>
      <c r="F2343" s="12">
        <f t="shared" si="147"/>
        <v>6.36</v>
      </c>
    </row>
    <row r="2344" spans="1:6" x14ac:dyDescent="0.25">
      <c r="A2344" s="1">
        <v>42418</v>
      </c>
      <c r="B2344">
        <v>3.65</v>
      </c>
      <c r="C2344" s="11">
        <f t="shared" si="144"/>
        <v>3.6499999999999998E-2</v>
      </c>
      <c r="D2344">
        <f t="shared" si="145"/>
        <v>2016</v>
      </c>
      <c r="E2344" t="str">
        <f t="shared" si="146"/>
        <v>Feb-2016</v>
      </c>
      <c r="F2344" s="12">
        <f t="shared" si="147"/>
        <v>6.36</v>
      </c>
    </row>
    <row r="2345" spans="1:6" x14ac:dyDescent="0.25">
      <c r="A2345" s="1">
        <v>42425</v>
      </c>
      <c r="B2345">
        <v>3.62</v>
      </c>
      <c r="C2345" s="11">
        <f t="shared" si="144"/>
        <v>3.6200000000000003E-2</v>
      </c>
      <c r="D2345">
        <f t="shared" si="145"/>
        <v>2016</v>
      </c>
      <c r="E2345" t="str">
        <f t="shared" si="146"/>
        <v>Feb-2016</v>
      </c>
      <c r="F2345" s="12">
        <f t="shared" si="147"/>
        <v>6.36</v>
      </c>
    </row>
    <row r="2346" spans="1:6" x14ac:dyDescent="0.25">
      <c r="A2346" s="1">
        <v>42432</v>
      </c>
      <c r="B2346">
        <v>3.64</v>
      </c>
      <c r="C2346" s="11">
        <f t="shared" si="144"/>
        <v>3.6400000000000002E-2</v>
      </c>
      <c r="D2346">
        <f t="shared" si="145"/>
        <v>2016</v>
      </c>
      <c r="E2346" t="str">
        <f t="shared" si="146"/>
        <v>Mar-2016</v>
      </c>
      <c r="F2346" s="12">
        <f t="shared" si="147"/>
        <v>6.36</v>
      </c>
    </row>
    <row r="2347" spans="1:6" x14ac:dyDescent="0.25">
      <c r="A2347" s="1">
        <v>42439</v>
      </c>
      <c r="B2347">
        <v>3.68</v>
      </c>
      <c r="C2347" s="11">
        <f t="shared" si="144"/>
        <v>3.6799999999999999E-2</v>
      </c>
      <c r="D2347">
        <f t="shared" si="145"/>
        <v>2016</v>
      </c>
      <c r="E2347" t="str">
        <f t="shared" si="146"/>
        <v>Mar-2016</v>
      </c>
      <c r="F2347" s="12">
        <f t="shared" si="147"/>
        <v>6.36</v>
      </c>
    </row>
    <row r="2348" spans="1:6" x14ac:dyDescent="0.25">
      <c r="A2348" s="1">
        <v>42446</v>
      </c>
      <c r="B2348">
        <v>3.73</v>
      </c>
      <c r="C2348" s="11">
        <f t="shared" si="144"/>
        <v>3.73E-2</v>
      </c>
      <c r="D2348">
        <f t="shared" si="145"/>
        <v>2016</v>
      </c>
      <c r="E2348" t="str">
        <f t="shared" si="146"/>
        <v>Mar-2016</v>
      </c>
      <c r="F2348" s="12">
        <f t="shared" si="147"/>
        <v>6.36</v>
      </c>
    </row>
    <row r="2349" spans="1:6" x14ac:dyDescent="0.25">
      <c r="A2349" s="1">
        <v>42453</v>
      </c>
      <c r="B2349">
        <v>3.71</v>
      </c>
      <c r="C2349" s="11">
        <f t="shared" si="144"/>
        <v>3.7100000000000001E-2</v>
      </c>
      <c r="D2349">
        <f t="shared" si="145"/>
        <v>2016</v>
      </c>
      <c r="E2349" t="str">
        <f t="shared" si="146"/>
        <v>Mar-2016</v>
      </c>
      <c r="F2349" s="12">
        <f t="shared" si="147"/>
        <v>6.36</v>
      </c>
    </row>
    <row r="2350" spans="1:6" x14ac:dyDescent="0.25">
      <c r="A2350" s="1">
        <v>42460</v>
      </c>
      <c r="B2350">
        <v>3.71</v>
      </c>
      <c r="C2350" s="11">
        <f t="shared" si="144"/>
        <v>3.7100000000000001E-2</v>
      </c>
      <c r="D2350">
        <f t="shared" si="145"/>
        <v>2016</v>
      </c>
      <c r="E2350" t="str">
        <f t="shared" si="146"/>
        <v>Mar-2016</v>
      </c>
      <c r="F2350" s="12">
        <f t="shared" si="147"/>
        <v>6.36</v>
      </c>
    </row>
    <row r="2351" spans="1:6" x14ac:dyDescent="0.25">
      <c r="A2351" s="1">
        <v>42467</v>
      </c>
      <c r="B2351">
        <v>3.59</v>
      </c>
      <c r="C2351" s="11">
        <f t="shared" si="144"/>
        <v>3.5900000000000001E-2</v>
      </c>
      <c r="D2351">
        <f t="shared" si="145"/>
        <v>2016</v>
      </c>
      <c r="E2351" t="str">
        <f t="shared" si="146"/>
        <v>Apr-2016</v>
      </c>
      <c r="F2351" s="12">
        <f t="shared" si="147"/>
        <v>6.36</v>
      </c>
    </row>
    <row r="2352" spans="1:6" x14ac:dyDescent="0.25">
      <c r="A2352" s="1">
        <v>42474</v>
      </c>
      <c r="B2352">
        <v>3.58</v>
      </c>
      <c r="C2352" s="11">
        <f t="shared" si="144"/>
        <v>3.5799999999999998E-2</v>
      </c>
      <c r="D2352">
        <f t="shared" si="145"/>
        <v>2016</v>
      </c>
      <c r="E2352" t="str">
        <f t="shared" si="146"/>
        <v>Apr-2016</v>
      </c>
      <c r="F2352" s="12">
        <f t="shared" si="147"/>
        <v>6.36</v>
      </c>
    </row>
    <row r="2353" spans="1:6" x14ac:dyDescent="0.25">
      <c r="A2353" s="1">
        <v>42481</v>
      </c>
      <c r="B2353">
        <v>3.59</v>
      </c>
      <c r="C2353" s="11">
        <f t="shared" si="144"/>
        <v>3.5900000000000001E-2</v>
      </c>
      <c r="D2353">
        <f t="shared" si="145"/>
        <v>2016</v>
      </c>
      <c r="E2353" t="str">
        <f t="shared" si="146"/>
        <v>Apr-2016</v>
      </c>
      <c r="F2353" s="12">
        <f t="shared" si="147"/>
        <v>6.36</v>
      </c>
    </row>
    <row r="2354" spans="1:6" x14ac:dyDescent="0.25">
      <c r="A2354" s="1">
        <v>42488</v>
      </c>
      <c r="B2354">
        <v>3.66</v>
      </c>
      <c r="C2354" s="11">
        <f t="shared" si="144"/>
        <v>3.6600000000000001E-2</v>
      </c>
      <c r="D2354">
        <f t="shared" si="145"/>
        <v>2016</v>
      </c>
      <c r="E2354" t="str">
        <f t="shared" si="146"/>
        <v>Apr-2016</v>
      </c>
      <c r="F2354" s="12">
        <f t="shared" si="147"/>
        <v>6.36</v>
      </c>
    </row>
    <row r="2355" spans="1:6" x14ac:dyDescent="0.25">
      <c r="A2355" s="1">
        <v>42495</v>
      </c>
      <c r="B2355">
        <v>3.61</v>
      </c>
      <c r="C2355" s="11">
        <f t="shared" si="144"/>
        <v>3.61E-2</v>
      </c>
      <c r="D2355">
        <f t="shared" si="145"/>
        <v>2016</v>
      </c>
      <c r="E2355" t="str">
        <f t="shared" si="146"/>
        <v>May-2016</v>
      </c>
      <c r="F2355" s="12">
        <f t="shared" si="147"/>
        <v>6.36</v>
      </c>
    </row>
    <row r="2356" spans="1:6" x14ac:dyDescent="0.25">
      <c r="A2356" s="1">
        <v>42502</v>
      </c>
      <c r="B2356">
        <v>3.57</v>
      </c>
      <c r="C2356" s="11">
        <f t="shared" si="144"/>
        <v>3.5699999999999996E-2</v>
      </c>
      <c r="D2356">
        <f t="shared" si="145"/>
        <v>2016</v>
      </c>
      <c r="E2356" t="str">
        <f t="shared" si="146"/>
        <v>May-2016</v>
      </c>
      <c r="F2356" s="12">
        <f t="shared" si="147"/>
        <v>6.36</v>
      </c>
    </row>
    <row r="2357" spans="1:6" x14ac:dyDescent="0.25">
      <c r="A2357" s="1">
        <v>42509</v>
      </c>
      <c r="B2357">
        <v>3.58</v>
      </c>
      <c r="C2357" s="11">
        <f t="shared" si="144"/>
        <v>3.5799999999999998E-2</v>
      </c>
      <c r="D2357">
        <f t="shared" si="145"/>
        <v>2016</v>
      </c>
      <c r="E2357" t="str">
        <f t="shared" si="146"/>
        <v>May-2016</v>
      </c>
      <c r="F2357" s="12">
        <f t="shared" si="147"/>
        <v>6.36</v>
      </c>
    </row>
    <row r="2358" spans="1:6" x14ac:dyDescent="0.25">
      <c r="A2358" s="1">
        <v>42516</v>
      </c>
      <c r="B2358">
        <v>3.64</v>
      </c>
      <c r="C2358" s="11">
        <f t="shared" si="144"/>
        <v>3.6400000000000002E-2</v>
      </c>
      <c r="D2358">
        <f t="shared" si="145"/>
        <v>2016</v>
      </c>
      <c r="E2358" t="str">
        <f t="shared" si="146"/>
        <v>May-2016</v>
      </c>
      <c r="F2358" s="12">
        <f t="shared" si="147"/>
        <v>6.36</v>
      </c>
    </row>
    <row r="2359" spans="1:6" x14ac:dyDescent="0.25">
      <c r="A2359" s="1">
        <v>42523</v>
      </c>
      <c r="B2359">
        <v>3.66</v>
      </c>
      <c r="C2359" s="11">
        <f t="shared" si="144"/>
        <v>3.6600000000000001E-2</v>
      </c>
      <c r="D2359">
        <f t="shared" si="145"/>
        <v>2016</v>
      </c>
      <c r="E2359" t="str">
        <f t="shared" si="146"/>
        <v>Jun-2016</v>
      </c>
      <c r="F2359" s="12">
        <f t="shared" si="147"/>
        <v>6.36</v>
      </c>
    </row>
    <row r="2360" spans="1:6" x14ac:dyDescent="0.25">
      <c r="A2360" s="1">
        <v>42530</v>
      </c>
      <c r="B2360">
        <v>3.6</v>
      </c>
      <c r="C2360" s="11">
        <f t="shared" si="144"/>
        <v>3.6000000000000004E-2</v>
      </c>
      <c r="D2360">
        <f t="shared" si="145"/>
        <v>2016</v>
      </c>
      <c r="E2360" t="str">
        <f t="shared" si="146"/>
        <v>Jun-2016</v>
      </c>
      <c r="F2360" s="12">
        <f t="shared" si="147"/>
        <v>6.36</v>
      </c>
    </row>
    <row r="2361" spans="1:6" x14ac:dyDescent="0.25">
      <c r="A2361" s="1">
        <v>42537</v>
      </c>
      <c r="B2361">
        <v>3.54</v>
      </c>
      <c r="C2361" s="11">
        <f t="shared" si="144"/>
        <v>3.5400000000000001E-2</v>
      </c>
      <c r="D2361">
        <f t="shared" si="145"/>
        <v>2016</v>
      </c>
      <c r="E2361" t="str">
        <f t="shared" si="146"/>
        <v>Jun-2016</v>
      </c>
      <c r="F2361" s="12">
        <f t="shared" si="147"/>
        <v>6.36</v>
      </c>
    </row>
    <row r="2362" spans="1:6" x14ac:dyDescent="0.25">
      <c r="A2362" s="1">
        <v>42544</v>
      </c>
      <c r="B2362">
        <v>3.56</v>
      </c>
      <c r="C2362" s="11">
        <f t="shared" si="144"/>
        <v>3.56E-2</v>
      </c>
      <c r="D2362">
        <f t="shared" si="145"/>
        <v>2016</v>
      </c>
      <c r="E2362" t="str">
        <f t="shared" si="146"/>
        <v>Jun-2016</v>
      </c>
      <c r="F2362" s="12">
        <f t="shared" si="147"/>
        <v>6.36</v>
      </c>
    </row>
    <row r="2363" spans="1:6" x14ac:dyDescent="0.25">
      <c r="A2363" s="1">
        <v>42551</v>
      </c>
      <c r="B2363">
        <v>3.48</v>
      </c>
      <c r="C2363" s="11">
        <f t="shared" si="144"/>
        <v>3.4799999999999998E-2</v>
      </c>
      <c r="D2363">
        <f t="shared" si="145"/>
        <v>2016</v>
      </c>
      <c r="E2363" t="str">
        <f t="shared" si="146"/>
        <v>Jun-2016</v>
      </c>
      <c r="F2363" s="12">
        <f t="shared" si="147"/>
        <v>6.36</v>
      </c>
    </row>
    <row r="2364" spans="1:6" x14ac:dyDescent="0.25">
      <c r="A2364" s="1">
        <v>42558</v>
      </c>
      <c r="B2364">
        <v>3.41</v>
      </c>
      <c r="C2364" s="11">
        <f t="shared" si="144"/>
        <v>3.4099999999999998E-2</v>
      </c>
      <c r="D2364">
        <f t="shared" si="145"/>
        <v>2016</v>
      </c>
      <c r="E2364" t="str">
        <f t="shared" si="146"/>
        <v>Jul-2016</v>
      </c>
      <c r="F2364" s="12">
        <f t="shared" si="147"/>
        <v>6.36</v>
      </c>
    </row>
    <row r="2365" spans="1:6" x14ac:dyDescent="0.25">
      <c r="A2365" s="1">
        <v>42565</v>
      </c>
      <c r="B2365">
        <v>3.42</v>
      </c>
      <c r="C2365" s="11">
        <f t="shared" si="144"/>
        <v>3.4200000000000001E-2</v>
      </c>
      <c r="D2365">
        <f t="shared" si="145"/>
        <v>2016</v>
      </c>
      <c r="E2365" t="str">
        <f t="shared" si="146"/>
        <v>Jul-2016</v>
      </c>
      <c r="F2365" s="12">
        <f t="shared" si="147"/>
        <v>6.36</v>
      </c>
    </row>
    <row r="2366" spans="1:6" x14ac:dyDescent="0.25">
      <c r="A2366" s="1">
        <v>42572</v>
      </c>
      <c r="B2366">
        <v>3.45</v>
      </c>
      <c r="C2366" s="11">
        <f t="shared" si="144"/>
        <v>3.4500000000000003E-2</v>
      </c>
      <c r="D2366">
        <f t="shared" si="145"/>
        <v>2016</v>
      </c>
      <c r="E2366" t="str">
        <f t="shared" si="146"/>
        <v>Jul-2016</v>
      </c>
      <c r="F2366" s="12">
        <f t="shared" si="147"/>
        <v>6.36</v>
      </c>
    </row>
    <row r="2367" spans="1:6" x14ac:dyDescent="0.25">
      <c r="A2367" s="1">
        <v>42579</v>
      </c>
      <c r="B2367">
        <v>3.48</v>
      </c>
      <c r="C2367" s="11">
        <f t="shared" si="144"/>
        <v>3.4799999999999998E-2</v>
      </c>
      <c r="D2367">
        <f t="shared" si="145"/>
        <v>2016</v>
      </c>
      <c r="E2367" t="str">
        <f t="shared" si="146"/>
        <v>Jul-2016</v>
      </c>
      <c r="F2367" s="12">
        <f t="shared" si="147"/>
        <v>6.36</v>
      </c>
    </row>
    <row r="2368" spans="1:6" x14ac:dyDescent="0.25">
      <c r="A2368" s="1">
        <v>42586</v>
      </c>
      <c r="B2368">
        <v>3.43</v>
      </c>
      <c r="C2368" s="11">
        <f t="shared" si="144"/>
        <v>3.4300000000000004E-2</v>
      </c>
      <c r="D2368">
        <f t="shared" si="145"/>
        <v>2016</v>
      </c>
      <c r="E2368" t="str">
        <f t="shared" si="146"/>
        <v>Aug-2016</v>
      </c>
      <c r="F2368" s="12">
        <f t="shared" si="147"/>
        <v>6.36</v>
      </c>
    </row>
    <row r="2369" spans="1:6" x14ac:dyDescent="0.25">
      <c r="A2369" s="1">
        <v>42593</v>
      </c>
      <c r="B2369">
        <v>3.45</v>
      </c>
      <c r="C2369" s="11">
        <f t="shared" si="144"/>
        <v>3.4500000000000003E-2</v>
      </c>
      <c r="D2369">
        <f t="shared" si="145"/>
        <v>2016</v>
      </c>
      <c r="E2369" t="str">
        <f t="shared" si="146"/>
        <v>Aug-2016</v>
      </c>
      <c r="F2369" s="12">
        <f t="shared" si="147"/>
        <v>6.36</v>
      </c>
    </row>
    <row r="2370" spans="1:6" x14ac:dyDescent="0.25">
      <c r="A2370" s="1">
        <v>42600</v>
      </c>
      <c r="B2370">
        <v>3.43</v>
      </c>
      <c r="C2370" s="11">
        <f t="shared" ref="C2370:C2433" si="148">B2370/100</f>
        <v>3.4300000000000004E-2</v>
      </c>
      <c r="D2370">
        <f t="shared" ref="D2370:D2433" si="149">YEAR(A2370)</f>
        <v>2016</v>
      </c>
      <c r="E2370" t="str">
        <f t="shared" ref="E2370:E2433" si="150">TEXT(A2370,"MMM-YYYY")</f>
        <v>Aug-2016</v>
      </c>
      <c r="F2370" s="12">
        <f t="shared" ref="F2370:F2433" si="151">$H$2</f>
        <v>6.36</v>
      </c>
    </row>
    <row r="2371" spans="1:6" x14ac:dyDescent="0.25">
      <c r="A2371" s="1">
        <v>42607</v>
      </c>
      <c r="B2371">
        <v>3.43</v>
      </c>
      <c r="C2371" s="11">
        <f t="shared" si="148"/>
        <v>3.4300000000000004E-2</v>
      </c>
      <c r="D2371">
        <f t="shared" si="149"/>
        <v>2016</v>
      </c>
      <c r="E2371" t="str">
        <f t="shared" si="150"/>
        <v>Aug-2016</v>
      </c>
      <c r="F2371" s="12">
        <f t="shared" si="151"/>
        <v>6.36</v>
      </c>
    </row>
    <row r="2372" spans="1:6" x14ac:dyDescent="0.25">
      <c r="A2372" s="1">
        <v>42614</v>
      </c>
      <c r="B2372">
        <v>3.46</v>
      </c>
      <c r="C2372" s="11">
        <f t="shared" si="148"/>
        <v>3.4599999999999999E-2</v>
      </c>
      <c r="D2372">
        <f t="shared" si="149"/>
        <v>2016</v>
      </c>
      <c r="E2372" t="str">
        <f t="shared" si="150"/>
        <v>Sep-2016</v>
      </c>
      <c r="F2372" s="12">
        <f t="shared" si="151"/>
        <v>6.36</v>
      </c>
    </row>
    <row r="2373" spans="1:6" x14ac:dyDescent="0.25">
      <c r="A2373" s="1">
        <v>42621</v>
      </c>
      <c r="B2373">
        <v>3.44</v>
      </c>
      <c r="C2373" s="11">
        <f t="shared" si="148"/>
        <v>3.44E-2</v>
      </c>
      <c r="D2373">
        <f t="shared" si="149"/>
        <v>2016</v>
      </c>
      <c r="E2373" t="str">
        <f t="shared" si="150"/>
        <v>Sep-2016</v>
      </c>
      <c r="F2373" s="12">
        <f t="shared" si="151"/>
        <v>6.36</v>
      </c>
    </row>
    <row r="2374" spans="1:6" x14ac:dyDescent="0.25">
      <c r="A2374" s="1">
        <v>42628</v>
      </c>
      <c r="B2374">
        <v>3.5</v>
      </c>
      <c r="C2374" s="11">
        <f t="shared" si="148"/>
        <v>3.5000000000000003E-2</v>
      </c>
      <c r="D2374">
        <f t="shared" si="149"/>
        <v>2016</v>
      </c>
      <c r="E2374" t="str">
        <f t="shared" si="150"/>
        <v>Sep-2016</v>
      </c>
      <c r="F2374" s="12">
        <f t="shared" si="151"/>
        <v>6.36</v>
      </c>
    </row>
    <row r="2375" spans="1:6" x14ac:dyDescent="0.25">
      <c r="A2375" s="1">
        <v>42635</v>
      </c>
      <c r="B2375">
        <v>3.48</v>
      </c>
      <c r="C2375" s="11">
        <f t="shared" si="148"/>
        <v>3.4799999999999998E-2</v>
      </c>
      <c r="D2375">
        <f t="shared" si="149"/>
        <v>2016</v>
      </c>
      <c r="E2375" t="str">
        <f t="shared" si="150"/>
        <v>Sep-2016</v>
      </c>
      <c r="F2375" s="12">
        <f t="shared" si="151"/>
        <v>6.36</v>
      </c>
    </row>
    <row r="2376" spans="1:6" x14ac:dyDescent="0.25">
      <c r="A2376" s="1">
        <v>42642</v>
      </c>
      <c r="B2376">
        <v>3.42</v>
      </c>
      <c r="C2376" s="11">
        <f t="shared" si="148"/>
        <v>3.4200000000000001E-2</v>
      </c>
      <c r="D2376">
        <f t="shared" si="149"/>
        <v>2016</v>
      </c>
      <c r="E2376" t="str">
        <f t="shared" si="150"/>
        <v>Sep-2016</v>
      </c>
      <c r="F2376" s="12">
        <f t="shared" si="151"/>
        <v>6.36</v>
      </c>
    </row>
    <row r="2377" spans="1:6" x14ac:dyDescent="0.25">
      <c r="A2377" s="1">
        <v>42649</v>
      </c>
      <c r="B2377">
        <v>3.42</v>
      </c>
      <c r="C2377" s="11">
        <f t="shared" si="148"/>
        <v>3.4200000000000001E-2</v>
      </c>
      <c r="D2377">
        <f t="shared" si="149"/>
        <v>2016</v>
      </c>
      <c r="E2377" t="str">
        <f t="shared" si="150"/>
        <v>Oct-2016</v>
      </c>
      <c r="F2377" s="12">
        <f t="shared" si="151"/>
        <v>6.36</v>
      </c>
    </row>
    <row r="2378" spans="1:6" x14ac:dyDescent="0.25">
      <c r="A2378" s="1">
        <v>42656</v>
      </c>
      <c r="B2378">
        <v>3.47</v>
      </c>
      <c r="C2378" s="11">
        <f t="shared" si="148"/>
        <v>3.4700000000000002E-2</v>
      </c>
      <c r="D2378">
        <f t="shared" si="149"/>
        <v>2016</v>
      </c>
      <c r="E2378" t="str">
        <f t="shared" si="150"/>
        <v>Oct-2016</v>
      </c>
      <c r="F2378" s="12">
        <f t="shared" si="151"/>
        <v>6.36</v>
      </c>
    </row>
    <row r="2379" spans="1:6" x14ac:dyDescent="0.25">
      <c r="A2379" s="1">
        <v>42663</v>
      </c>
      <c r="B2379">
        <v>3.52</v>
      </c>
      <c r="C2379" s="11">
        <f t="shared" si="148"/>
        <v>3.5200000000000002E-2</v>
      </c>
      <c r="D2379">
        <f t="shared" si="149"/>
        <v>2016</v>
      </c>
      <c r="E2379" t="str">
        <f t="shared" si="150"/>
        <v>Oct-2016</v>
      </c>
      <c r="F2379" s="12">
        <f t="shared" si="151"/>
        <v>6.36</v>
      </c>
    </row>
    <row r="2380" spans="1:6" x14ac:dyDescent="0.25">
      <c r="A2380" s="1">
        <v>42670</v>
      </c>
      <c r="B2380">
        <v>3.47</v>
      </c>
      <c r="C2380" s="11">
        <f t="shared" si="148"/>
        <v>3.4700000000000002E-2</v>
      </c>
      <c r="D2380">
        <f t="shared" si="149"/>
        <v>2016</v>
      </c>
      <c r="E2380" t="str">
        <f t="shared" si="150"/>
        <v>Oct-2016</v>
      </c>
      <c r="F2380" s="12">
        <f t="shared" si="151"/>
        <v>6.36</v>
      </c>
    </row>
    <row r="2381" spans="1:6" x14ac:dyDescent="0.25">
      <c r="A2381" s="1">
        <v>42677</v>
      </c>
      <c r="B2381">
        <v>3.54</v>
      </c>
      <c r="C2381" s="11">
        <f t="shared" si="148"/>
        <v>3.5400000000000001E-2</v>
      </c>
      <c r="D2381">
        <f t="shared" si="149"/>
        <v>2016</v>
      </c>
      <c r="E2381" t="str">
        <f t="shared" si="150"/>
        <v>Nov-2016</v>
      </c>
      <c r="F2381" s="12">
        <f t="shared" si="151"/>
        <v>6.36</v>
      </c>
    </row>
    <row r="2382" spans="1:6" x14ac:dyDescent="0.25">
      <c r="A2382" s="1">
        <v>42684</v>
      </c>
      <c r="B2382">
        <v>3.57</v>
      </c>
      <c r="C2382" s="11">
        <f t="shared" si="148"/>
        <v>3.5699999999999996E-2</v>
      </c>
      <c r="D2382">
        <f t="shared" si="149"/>
        <v>2016</v>
      </c>
      <c r="E2382" t="str">
        <f t="shared" si="150"/>
        <v>Nov-2016</v>
      </c>
      <c r="F2382" s="12">
        <f t="shared" si="151"/>
        <v>6.36</v>
      </c>
    </row>
    <row r="2383" spans="1:6" x14ac:dyDescent="0.25">
      <c r="A2383" s="1">
        <v>42691</v>
      </c>
      <c r="B2383">
        <v>3.94</v>
      </c>
      <c r="C2383" s="11">
        <f t="shared" si="148"/>
        <v>3.9399999999999998E-2</v>
      </c>
      <c r="D2383">
        <f t="shared" si="149"/>
        <v>2016</v>
      </c>
      <c r="E2383" t="str">
        <f t="shared" si="150"/>
        <v>Nov-2016</v>
      </c>
      <c r="F2383" s="12">
        <f t="shared" si="151"/>
        <v>6.36</v>
      </c>
    </row>
    <row r="2384" spans="1:6" x14ac:dyDescent="0.25">
      <c r="A2384" s="1">
        <v>42697</v>
      </c>
      <c r="B2384">
        <v>4.03</v>
      </c>
      <c r="C2384" s="11">
        <f t="shared" si="148"/>
        <v>4.0300000000000002E-2</v>
      </c>
      <c r="D2384">
        <f t="shared" si="149"/>
        <v>2016</v>
      </c>
      <c r="E2384" t="str">
        <f t="shared" si="150"/>
        <v>Nov-2016</v>
      </c>
      <c r="F2384" s="12">
        <f t="shared" si="151"/>
        <v>6.36</v>
      </c>
    </row>
    <row r="2385" spans="1:6" x14ac:dyDescent="0.25">
      <c r="A2385" s="1">
        <v>42705</v>
      </c>
      <c r="B2385">
        <v>4.08</v>
      </c>
      <c r="C2385" s="11">
        <f t="shared" si="148"/>
        <v>4.0800000000000003E-2</v>
      </c>
      <c r="D2385">
        <f t="shared" si="149"/>
        <v>2016</v>
      </c>
      <c r="E2385" t="str">
        <f t="shared" si="150"/>
        <v>Dec-2016</v>
      </c>
      <c r="F2385" s="12">
        <f t="shared" si="151"/>
        <v>6.36</v>
      </c>
    </row>
    <row r="2386" spans="1:6" x14ac:dyDescent="0.25">
      <c r="A2386" s="1">
        <v>42712</v>
      </c>
      <c r="B2386">
        <v>4.13</v>
      </c>
      <c r="C2386" s="11">
        <f t="shared" si="148"/>
        <v>4.1299999999999996E-2</v>
      </c>
      <c r="D2386">
        <f t="shared" si="149"/>
        <v>2016</v>
      </c>
      <c r="E2386" t="str">
        <f t="shared" si="150"/>
        <v>Dec-2016</v>
      </c>
      <c r="F2386" s="12">
        <f t="shared" si="151"/>
        <v>6.36</v>
      </c>
    </row>
    <row r="2387" spans="1:6" x14ac:dyDescent="0.25">
      <c r="A2387" s="1">
        <v>42719</v>
      </c>
      <c r="B2387">
        <v>4.16</v>
      </c>
      <c r="C2387" s="11">
        <f t="shared" si="148"/>
        <v>4.1599999999999998E-2</v>
      </c>
      <c r="D2387">
        <f t="shared" si="149"/>
        <v>2016</v>
      </c>
      <c r="E2387" t="str">
        <f t="shared" si="150"/>
        <v>Dec-2016</v>
      </c>
      <c r="F2387" s="12">
        <f t="shared" si="151"/>
        <v>6.36</v>
      </c>
    </row>
    <row r="2388" spans="1:6" x14ac:dyDescent="0.25">
      <c r="A2388" s="1">
        <v>42726</v>
      </c>
      <c r="B2388">
        <v>4.3</v>
      </c>
      <c r="C2388" s="11">
        <f t="shared" si="148"/>
        <v>4.2999999999999997E-2</v>
      </c>
      <c r="D2388">
        <f t="shared" si="149"/>
        <v>2016</v>
      </c>
      <c r="E2388" t="str">
        <f t="shared" si="150"/>
        <v>Dec-2016</v>
      </c>
      <c r="F2388" s="12">
        <f t="shared" si="151"/>
        <v>6.36</v>
      </c>
    </row>
    <row r="2389" spans="1:6" x14ac:dyDescent="0.25">
      <c r="A2389" s="1">
        <v>42733</v>
      </c>
      <c r="B2389">
        <v>4.32</v>
      </c>
      <c r="C2389" s="11">
        <f t="shared" si="148"/>
        <v>4.3200000000000002E-2</v>
      </c>
      <c r="D2389">
        <f t="shared" si="149"/>
        <v>2016</v>
      </c>
      <c r="E2389" t="str">
        <f t="shared" si="150"/>
        <v>Dec-2016</v>
      </c>
      <c r="F2389" s="12">
        <f t="shared" si="151"/>
        <v>6.36</v>
      </c>
    </row>
    <row r="2390" spans="1:6" x14ac:dyDescent="0.25">
      <c r="A2390" s="1">
        <v>42740</v>
      </c>
      <c r="B2390">
        <v>4.2</v>
      </c>
      <c r="C2390" s="11">
        <f t="shared" si="148"/>
        <v>4.2000000000000003E-2</v>
      </c>
      <c r="D2390">
        <f t="shared" si="149"/>
        <v>2017</v>
      </c>
      <c r="E2390" t="str">
        <f t="shared" si="150"/>
        <v>Jan-2017</v>
      </c>
      <c r="F2390" s="12">
        <f t="shared" si="151"/>
        <v>6.36</v>
      </c>
    </row>
    <row r="2391" spans="1:6" x14ac:dyDescent="0.25">
      <c r="A2391" s="1">
        <v>42747</v>
      </c>
      <c r="B2391">
        <v>4.12</v>
      </c>
      <c r="C2391" s="11">
        <f t="shared" si="148"/>
        <v>4.1200000000000001E-2</v>
      </c>
      <c r="D2391">
        <f t="shared" si="149"/>
        <v>2017</v>
      </c>
      <c r="E2391" t="str">
        <f t="shared" si="150"/>
        <v>Jan-2017</v>
      </c>
      <c r="F2391" s="12">
        <f t="shared" si="151"/>
        <v>6.36</v>
      </c>
    </row>
    <row r="2392" spans="1:6" x14ac:dyDescent="0.25">
      <c r="A2392" s="1">
        <v>42754</v>
      </c>
      <c r="B2392">
        <v>4.09</v>
      </c>
      <c r="C2392" s="11">
        <f t="shared" si="148"/>
        <v>4.0899999999999999E-2</v>
      </c>
      <c r="D2392">
        <f t="shared" si="149"/>
        <v>2017</v>
      </c>
      <c r="E2392" t="str">
        <f t="shared" si="150"/>
        <v>Jan-2017</v>
      </c>
      <c r="F2392" s="12">
        <f t="shared" si="151"/>
        <v>6.36</v>
      </c>
    </row>
    <row r="2393" spans="1:6" x14ac:dyDescent="0.25">
      <c r="A2393" s="1">
        <v>42761</v>
      </c>
      <c r="B2393">
        <v>4.1900000000000004</v>
      </c>
      <c r="C2393" s="11">
        <f t="shared" si="148"/>
        <v>4.1900000000000007E-2</v>
      </c>
      <c r="D2393">
        <f t="shared" si="149"/>
        <v>2017</v>
      </c>
      <c r="E2393" t="str">
        <f t="shared" si="150"/>
        <v>Jan-2017</v>
      </c>
      <c r="F2393" s="12">
        <f t="shared" si="151"/>
        <v>6.36</v>
      </c>
    </row>
    <row r="2394" spans="1:6" x14ac:dyDescent="0.25">
      <c r="A2394" s="1">
        <v>42768</v>
      </c>
      <c r="B2394">
        <v>4.1900000000000004</v>
      </c>
      <c r="C2394" s="11">
        <f t="shared" si="148"/>
        <v>4.1900000000000007E-2</v>
      </c>
      <c r="D2394">
        <f t="shared" si="149"/>
        <v>2017</v>
      </c>
      <c r="E2394" t="str">
        <f t="shared" si="150"/>
        <v>Feb-2017</v>
      </c>
      <c r="F2394" s="12">
        <f t="shared" si="151"/>
        <v>6.36</v>
      </c>
    </row>
    <row r="2395" spans="1:6" x14ac:dyDescent="0.25">
      <c r="A2395" s="1">
        <v>42775</v>
      </c>
      <c r="B2395">
        <v>4.17</v>
      </c>
      <c r="C2395" s="11">
        <f t="shared" si="148"/>
        <v>4.1700000000000001E-2</v>
      </c>
      <c r="D2395">
        <f t="shared" si="149"/>
        <v>2017</v>
      </c>
      <c r="E2395" t="str">
        <f t="shared" si="150"/>
        <v>Feb-2017</v>
      </c>
      <c r="F2395" s="12">
        <f t="shared" si="151"/>
        <v>6.36</v>
      </c>
    </row>
    <row r="2396" spans="1:6" x14ac:dyDescent="0.25">
      <c r="A2396" s="1">
        <v>42782</v>
      </c>
      <c r="B2396">
        <v>4.1500000000000004</v>
      </c>
      <c r="C2396" s="11">
        <f t="shared" si="148"/>
        <v>4.1500000000000002E-2</v>
      </c>
      <c r="D2396">
        <f t="shared" si="149"/>
        <v>2017</v>
      </c>
      <c r="E2396" t="str">
        <f t="shared" si="150"/>
        <v>Feb-2017</v>
      </c>
      <c r="F2396" s="12">
        <f t="shared" si="151"/>
        <v>6.36</v>
      </c>
    </row>
    <row r="2397" spans="1:6" x14ac:dyDescent="0.25">
      <c r="A2397" s="1">
        <v>42789</v>
      </c>
      <c r="B2397">
        <v>4.16</v>
      </c>
      <c r="C2397" s="11">
        <f t="shared" si="148"/>
        <v>4.1599999999999998E-2</v>
      </c>
      <c r="D2397">
        <f t="shared" si="149"/>
        <v>2017</v>
      </c>
      <c r="E2397" t="str">
        <f t="shared" si="150"/>
        <v>Feb-2017</v>
      </c>
      <c r="F2397" s="12">
        <f t="shared" si="151"/>
        <v>6.36</v>
      </c>
    </row>
    <row r="2398" spans="1:6" x14ac:dyDescent="0.25">
      <c r="A2398" s="1">
        <v>42796</v>
      </c>
      <c r="B2398">
        <v>4.0999999999999996</v>
      </c>
      <c r="C2398" s="11">
        <f t="shared" si="148"/>
        <v>4.0999999999999995E-2</v>
      </c>
      <c r="D2398">
        <f t="shared" si="149"/>
        <v>2017</v>
      </c>
      <c r="E2398" t="str">
        <f t="shared" si="150"/>
        <v>Mar-2017</v>
      </c>
      <c r="F2398" s="12">
        <f t="shared" si="151"/>
        <v>6.36</v>
      </c>
    </row>
    <row r="2399" spans="1:6" x14ac:dyDescent="0.25">
      <c r="A2399" s="1">
        <v>42803</v>
      </c>
      <c r="B2399">
        <v>4.21</v>
      </c>
      <c r="C2399" s="11">
        <f t="shared" si="148"/>
        <v>4.2099999999999999E-2</v>
      </c>
      <c r="D2399">
        <f t="shared" si="149"/>
        <v>2017</v>
      </c>
      <c r="E2399" t="str">
        <f t="shared" si="150"/>
        <v>Mar-2017</v>
      </c>
      <c r="F2399" s="12">
        <f t="shared" si="151"/>
        <v>6.36</v>
      </c>
    </row>
    <row r="2400" spans="1:6" x14ac:dyDescent="0.25">
      <c r="A2400" s="1">
        <v>42810</v>
      </c>
      <c r="B2400">
        <v>4.3</v>
      </c>
      <c r="C2400" s="11">
        <f t="shared" si="148"/>
        <v>4.2999999999999997E-2</v>
      </c>
      <c r="D2400">
        <f t="shared" si="149"/>
        <v>2017</v>
      </c>
      <c r="E2400" t="str">
        <f t="shared" si="150"/>
        <v>Mar-2017</v>
      </c>
      <c r="F2400" s="12">
        <f t="shared" si="151"/>
        <v>6.36</v>
      </c>
    </row>
    <row r="2401" spans="1:6" x14ac:dyDescent="0.25">
      <c r="A2401" s="1">
        <v>42817</v>
      </c>
      <c r="B2401">
        <v>4.2300000000000004</v>
      </c>
      <c r="C2401" s="11">
        <f t="shared" si="148"/>
        <v>4.2300000000000004E-2</v>
      </c>
      <c r="D2401">
        <f t="shared" si="149"/>
        <v>2017</v>
      </c>
      <c r="E2401" t="str">
        <f t="shared" si="150"/>
        <v>Mar-2017</v>
      </c>
      <c r="F2401" s="12">
        <f t="shared" si="151"/>
        <v>6.36</v>
      </c>
    </row>
    <row r="2402" spans="1:6" x14ac:dyDescent="0.25">
      <c r="A2402" s="1">
        <v>42824</v>
      </c>
      <c r="B2402">
        <v>4.1399999999999997</v>
      </c>
      <c r="C2402" s="11">
        <f t="shared" si="148"/>
        <v>4.1399999999999999E-2</v>
      </c>
      <c r="D2402">
        <f t="shared" si="149"/>
        <v>2017</v>
      </c>
      <c r="E2402" t="str">
        <f t="shared" si="150"/>
        <v>Mar-2017</v>
      </c>
      <c r="F2402" s="12">
        <f t="shared" si="151"/>
        <v>6.36</v>
      </c>
    </row>
    <row r="2403" spans="1:6" x14ac:dyDescent="0.25">
      <c r="A2403" s="1">
        <v>42831</v>
      </c>
      <c r="B2403">
        <v>4.0999999999999996</v>
      </c>
      <c r="C2403" s="11">
        <f t="shared" si="148"/>
        <v>4.0999999999999995E-2</v>
      </c>
      <c r="D2403">
        <f t="shared" si="149"/>
        <v>2017</v>
      </c>
      <c r="E2403" t="str">
        <f t="shared" si="150"/>
        <v>Apr-2017</v>
      </c>
      <c r="F2403" s="12">
        <f t="shared" si="151"/>
        <v>6.36</v>
      </c>
    </row>
    <row r="2404" spans="1:6" x14ac:dyDescent="0.25">
      <c r="A2404" s="1">
        <v>42838</v>
      </c>
      <c r="B2404">
        <v>4.08</v>
      </c>
      <c r="C2404" s="11">
        <f t="shared" si="148"/>
        <v>4.0800000000000003E-2</v>
      </c>
      <c r="D2404">
        <f t="shared" si="149"/>
        <v>2017</v>
      </c>
      <c r="E2404" t="str">
        <f t="shared" si="150"/>
        <v>Apr-2017</v>
      </c>
      <c r="F2404" s="12">
        <f t="shared" si="151"/>
        <v>6.36</v>
      </c>
    </row>
    <row r="2405" spans="1:6" x14ac:dyDescent="0.25">
      <c r="A2405" s="1">
        <v>42845</v>
      </c>
      <c r="B2405">
        <v>3.97</v>
      </c>
      <c r="C2405" s="11">
        <f t="shared" si="148"/>
        <v>3.9699999999999999E-2</v>
      </c>
      <c r="D2405">
        <f t="shared" si="149"/>
        <v>2017</v>
      </c>
      <c r="E2405" t="str">
        <f t="shared" si="150"/>
        <v>Apr-2017</v>
      </c>
      <c r="F2405" s="12">
        <f t="shared" si="151"/>
        <v>6.36</v>
      </c>
    </row>
    <row r="2406" spans="1:6" x14ac:dyDescent="0.25">
      <c r="A2406" s="1">
        <v>42852</v>
      </c>
      <c r="B2406">
        <v>4.03</v>
      </c>
      <c r="C2406" s="11">
        <f t="shared" si="148"/>
        <v>4.0300000000000002E-2</v>
      </c>
      <c r="D2406">
        <f t="shared" si="149"/>
        <v>2017</v>
      </c>
      <c r="E2406" t="str">
        <f t="shared" si="150"/>
        <v>Apr-2017</v>
      </c>
      <c r="F2406" s="12">
        <f t="shared" si="151"/>
        <v>6.36</v>
      </c>
    </row>
    <row r="2407" spans="1:6" x14ac:dyDescent="0.25">
      <c r="A2407" s="1">
        <v>42859</v>
      </c>
      <c r="B2407">
        <v>4.0199999999999996</v>
      </c>
      <c r="C2407" s="11">
        <f t="shared" si="148"/>
        <v>4.0199999999999993E-2</v>
      </c>
      <c r="D2407">
        <f t="shared" si="149"/>
        <v>2017</v>
      </c>
      <c r="E2407" t="str">
        <f t="shared" si="150"/>
        <v>May-2017</v>
      </c>
      <c r="F2407" s="12">
        <f t="shared" si="151"/>
        <v>6.36</v>
      </c>
    </row>
    <row r="2408" spans="1:6" x14ac:dyDescent="0.25">
      <c r="A2408" s="1">
        <v>42866</v>
      </c>
      <c r="B2408">
        <v>4.05</v>
      </c>
      <c r="C2408" s="11">
        <f t="shared" si="148"/>
        <v>4.0500000000000001E-2</v>
      </c>
      <c r="D2408">
        <f t="shared" si="149"/>
        <v>2017</v>
      </c>
      <c r="E2408" t="str">
        <f t="shared" si="150"/>
        <v>May-2017</v>
      </c>
      <c r="F2408" s="12">
        <f t="shared" si="151"/>
        <v>6.36</v>
      </c>
    </row>
    <row r="2409" spans="1:6" x14ac:dyDescent="0.25">
      <c r="A2409" s="1">
        <v>42873</v>
      </c>
      <c r="B2409">
        <v>4.0199999999999996</v>
      </c>
      <c r="C2409" s="11">
        <f t="shared" si="148"/>
        <v>4.0199999999999993E-2</v>
      </c>
      <c r="D2409">
        <f t="shared" si="149"/>
        <v>2017</v>
      </c>
      <c r="E2409" t="str">
        <f t="shared" si="150"/>
        <v>May-2017</v>
      </c>
      <c r="F2409" s="12">
        <f t="shared" si="151"/>
        <v>6.36</v>
      </c>
    </row>
    <row r="2410" spans="1:6" x14ac:dyDescent="0.25">
      <c r="A2410" s="1">
        <v>42880</v>
      </c>
      <c r="B2410">
        <v>3.95</v>
      </c>
      <c r="C2410" s="11">
        <f t="shared" si="148"/>
        <v>3.95E-2</v>
      </c>
      <c r="D2410">
        <f t="shared" si="149"/>
        <v>2017</v>
      </c>
      <c r="E2410" t="str">
        <f t="shared" si="150"/>
        <v>May-2017</v>
      </c>
      <c r="F2410" s="12">
        <f t="shared" si="151"/>
        <v>6.36</v>
      </c>
    </row>
    <row r="2411" spans="1:6" x14ac:dyDescent="0.25">
      <c r="A2411" s="1">
        <v>42887</v>
      </c>
      <c r="B2411">
        <v>3.94</v>
      </c>
      <c r="C2411" s="11">
        <f t="shared" si="148"/>
        <v>3.9399999999999998E-2</v>
      </c>
      <c r="D2411">
        <f t="shared" si="149"/>
        <v>2017</v>
      </c>
      <c r="E2411" t="str">
        <f t="shared" si="150"/>
        <v>Jun-2017</v>
      </c>
      <c r="F2411" s="12">
        <f t="shared" si="151"/>
        <v>6.36</v>
      </c>
    </row>
    <row r="2412" spans="1:6" x14ac:dyDescent="0.25">
      <c r="A2412" s="1">
        <v>42894</v>
      </c>
      <c r="B2412">
        <v>3.89</v>
      </c>
      <c r="C2412" s="11">
        <f t="shared" si="148"/>
        <v>3.8900000000000004E-2</v>
      </c>
      <c r="D2412">
        <f t="shared" si="149"/>
        <v>2017</v>
      </c>
      <c r="E2412" t="str">
        <f t="shared" si="150"/>
        <v>Jun-2017</v>
      </c>
      <c r="F2412" s="12">
        <f t="shared" si="151"/>
        <v>6.36</v>
      </c>
    </row>
    <row r="2413" spans="1:6" x14ac:dyDescent="0.25">
      <c r="A2413" s="1">
        <v>42901</v>
      </c>
      <c r="B2413">
        <v>3.91</v>
      </c>
      <c r="C2413" s="11">
        <f t="shared" si="148"/>
        <v>3.9100000000000003E-2</v>
      </c>
      <c r="D2413">
        <f t="shared" si="149"/>
        <v>2017</v>
      </c>
      <c r="E2413" t="str">
        <f t="shared" si="150"/>
        <v>Jun-2017</v>
      </c>
      <c r="F2413" s="12">
        <f t="shared" si="151"/>
        <v>6.36</v>
      </c>
    </row>
    <row r="2414" spans="1:6" x14ac:dyDescent="0.25">
      <c r="A2414" s="1">
        <v>42908</v>
      </c>
      <c r="B2414">
        <v>3.9</v>
      </c>
      <c r="C2414" s="11">
        <f t="shared" si="148"/>
        <v>3.9E-2</v>
      </c>
      <c r="D2414">
        <f t="shared" si="149"/>
        <v>2017</v>
      </c>
      <c r="E2414" t="str">
        <f t="shared" si="150"/>
        <v>Jun-2017</v>
      </c>
      <c r="F2414" s="12">
        <f t="shared" si="151"/>
        <v>6.36</v>
      </c>
    </row>
    <row r="2415" spans="1:6" x14ac:dyDescent="0.25">
      <c r="A2415" s="1">
        <v>42915</v>
      </c>
      <c r="B2415">
        <v>3.88</v>
      </c>
      <c r="C2415" s="11">
        <f t="shared" si="148"/>
        <v>3.8800000000000001E-2</v>
      </c>
      <c r="D2415">
        <f t="shared" si="149"/>
        <v>2017</v>
      </c>
      <c r="E2415" t="str">
        <f t="shared" si="150"/>
        <v>Jun-2017</v>
      </c>
      <c r="F2415" s="12">
        <f t="shared" si="151"/>
        <v>6.36</v>
      </c>
    </row>
    <row r="2416" spans="1:6" x14ac:dyDescent="0.25">
      <c r="A2416" s="1">
        <v>42922</v>
      </c>
      <c r="B2416">
        <v>3.96</v>
      </c>
      <c r="C2416" s="11">
        <f t="shared" si="148"/>
        <v>3.9599999999999996E-2</v>
      </c>
      <c r="D2416">
        <f t="shared" si="149"/>
        <v>2017</v>
      </c>
      <c r="E2416" t="str">
        <f t="shared" si="150"/>
        <v>Jul-2017</v>
      </c>
      <c r="F2416" s="12">
        <f t="shared" si="151"/>
        <v>6.36</v>
      </c>
    </row>
    <row r="2417" spans="1:6" x14ac:dyDescent="0.25">
      <c r="A2417" s="1">
        <v>42929</v>
      </c>
      <c r="B2417">
        <v>4.03</v>
      </c>
      <c r="C2417" s="11">
        <f t="shared" si="148"/>
        <v>4.0300000000000002E-2</v>
      </c>
      <c r="D2417">
        <f t="shared" si="149"/>
        <v>2017</v>
      </c>
      <c r="E2417" t="str">
        <f t="shared" si="150"/>
        <v>Jul-2017</v>
      </c>
      <c r="F2417" s="12">
        <f t="shared" si="151"/>
        <v>6.36</v>
      </c>
    </row>
    <row r="2418" spans="1:6" x14ac:dyDescent="0.25">
      <c r="A2418" s="1">
        <v>42936</v>
      </c>
      <c r="B2418">
        <v>3.96</v>
      </c>
      <c r="C2418" s="11">
        <f t="shared" si="148"/>
        <v>3.9599999999999996E-2</v>
      </c>
      <c r="D2418">
        <f t="shared" si="149"/>
        <v>2017</v>
      </c>
      <c r="E2418" t="str">
        <f t="shared" si="150"/>
        <v>Jul-2017</v>
      </c>
      <c r="F2418" s="12">
        <f t="shared" si="151"/>
        <v>6.36</v>
      </c>
    </row>
    <row r="2419" spans="1:6" x14ac:dyDescent="0.25">
      <c r="A2419" s="1">
        <v>42943</v>
      </c>
      <c r="B2419">
        <v>3.92</v>
      </c>
      <c r="C2419" s="11">
        <f t="shared" si="148"/>
        <v>3.9199999999999999E-2</v>
      </c>
      <c r="D2419">
        <f t="shared" si="149"/>
        <v>2017</v>
      </c>
      <c r="E2419" t="str">
        <f t="shared" si="150"/>
        <v>Jul-2017</v>
      </c>
      <c r="F2419" s="12">
        <f t="shared" si="151"/>
        <v>6.36</v>
      </c>
    </row>
    <row r="2420" spans="1:6" x14ac:dyDescent="0.25">
      <c r="A2420" s="1">
        <v>42950</v>
      </c>
      <c r="B2420">
        <v>3.93</v>
      </c>
      <c r="C2420" s="11">
        <f t="shared" si="148"/>
        <v>3.9300000000000002E-2</v>
      </c>
      <c r="D2420">
        <f t="shared" si="149"/>
        <v>2017</v>
      </c>
      <c r="E2420" t="str">
        <f t="shared" si="150"/>
        <v>Aug-2017</v>
      </c>
      <c r="F2420" s="12">
        <f t="shared" si="151"/>
        <v>6.36</v>
      </c>
    </row>
    <row r="2421" spans="1:6" x14ac:dyDescent="0.25">
      <c r="A2421" s="1">
        <v>42957</v>
      </c>
      <c r="B2421">
        <v>3.9</v>
      </c>
      <c r="C2421" s="11">
        <f t="shared" si="148"/>
        <v>3.9E-2</v>
      </c>
      <c r="D2421">
        <f t="shared" si="149"/>
        <v>2017</v>
      </c>
      <c r="E2421" t="str">
        <f t="shared" si="150"/>
        <v>Aug-2017</v>
      </c>
      <c r="F2421" s="12">
        <f t="shared" si="151"/>
        <v>6.36</v>
      </c>
    </row>
    <row r="2422" spans="1:6" x14ac:dyDescent="0.25">
      <c r="A2422" s="1">
        <v>42964</v>
      </c>
      <c r="B2422">
        <v>3.89</v>
      </c>
      <c r="C2422" s="11">
        <f t="shared" si="148"/>
        <v>3.8900000000000004E-2</v>
      </c>
      <c r="D2422">
        <f t="shared" si="149"/>
        <v>2017</v>
      </c>
      <c r="E2422" t="str">
        <f t="shared" si="150"/>
        <v>Aug-2017</v>
      </c>
      <c r="F2422" s="12">
        <f t="shared" si="151"/>
        <v>6.36</v>
      </c>
    </row>
    <row r="2423" spans="1:6" x14ac:dyDescent="0.25">
      <c r="A2423" s="1">
        <v>42971</v>
      </c>
      <c r="B2423">
        <v>3.86</v>
      </c>
      <c r="C2423" s="11">
        <f t="shared" si="148"/>
        <v>3.8599999999999995E-2</v>
      </c>
      <c r="D2423">
        <f t="shared" si="149"/>
        <v>2017</v>
      </c>
      <c r="E2423" t="str">
        <f t="shared" si="150"/>
        <v>Aug-2017</v>
      </c>
      <c r="F2423" s="12">
        <f t="shared" si="151"/>
        <v>6.36</v>
      </c>
    </row>
    <row r="2424" spans="1:6" x14ac:dyDescent="0.25">
      <c r="A2424" s="1">
        <v>42978</v>
      </c>
      <c r="B2424">
        <v>3.82</v>
      </c>
      <c r="C2424" s="11">
        <f t="shared" si="148"/>
        <v>3.8199999999999998E-2</v>
      </c>
      <c r="D2424">
        <f t="shared" si="149"/>
        <v>2017</v>
      </c>
      <c r="E2424" t="str">
        <f t="shared" si="150"/>
        <v>Aug-2017</v>
      </c>
      <c r="F2424" s="12">
        <f t="shared" si="151"/>
        <v>6.36</v>
      </c>
    </row>
    <row r="2425" spans="1:6" x14ac:dyDescent="0.25">
      <c r="A2425" s="1">
        <v>42985</v>
      </c>
      <c r="B2425">
        <v>3.78</v>
      </c>
      <c r="C2425" s="11">
        <f t="shared" si="148"/>
        <v>3.78E-2</v>
      </c>
      <c r="D2425">
        <f t="shared" si="149"/>
        <v>2017</v>
      </c>
      <c r="E2425" t="str">
        <f t="shared" si="150"/>
        <v>Sep-2017</v>
      </c>
      <c r="F2425" s="12">
        <f t="shared" si="151"/>
        <v>6.36</v>
      </c>
    </row>
    <row r="2426" spans="1:6" x14ac:dyDescent="0.25">
      <c r="A2426" s="1">
        <v>42992</v>
      </c>
      <c r="B2426">
        <v>3.78</v>
      </c>
      <c r="C2426" s="11">
        <f t="shared" si="148"/>
        <v>3.78E-2</v>
      </c>
      <c r="D2426">
        <f t="shared" si="149"/>
        <v>2017</v>
      </c>
      <c r="E2426" t="str">
        <f t="shared" si="150"/>
        <v>Sep-2017</v>
      </c>
      <c r="F2426" s="12">
        <f t="shared" si="151"/>
        <v>6.36</v>
      </c>
    </row>
    <row r="2427" spans="1:6" x14ac:dyDescent="0.25">
      <c r="A2427" s="1">
        <v>42999</v>
      </c>
      <c r="B2427">
        <v>3.83</v>
      </c>
      <c r="C2427" s="11">
        <f t="shared" si="148"/>
        <v>3.8300000000000001E-2</v>
      </c>
      <c r="D2427">
        <f t="shared" si="149"/>
        <v>2017</v>
      </c>
      <c r="E2427" t="str">
        <f t="shared" si="150"/>
        <v>Sep-2017</v>
      </c>
      <c r="F2427" s="12">
        <f t="shared" si="151"/>
        <v>6.36</v>
      </c>
    </row>
    <row r="2428" spans="1:6" x14ac:dyDescent="0.25">
      <c r="A2428" s="1">
        <v>43006</v>
      </c>
      <c r="B2428">
        <v>3.83</v>
      </c>
      <c r="C2428" s="11">
        <f t="shared" si="148"/>
        <v>3.8300000000000001E-2</v>
      </c>
      <c r="D2428">
        <f t="shared" si="149"/>
        <v>2017</v>
      </c>
      <c r="E2428" t="str">
        <f t="shared" si="150"/>
        <v>Sep-2017</v>
      </c>
      <c r="F2428" s="12">
        <f t="shared" si="151"/>
        <v>6.36</v>
      </c>
    </row>
    <row r="2429" spans="1:6" x14ac:dyDescent="0.25">
      <c r="A2429" s="1">
        <v>43013</v>
      </c>
      <c r="B2429">
        <v>3.85</v>
      </c>
      <c r="C2429" s="11">
        <f t="shared" si="148"/>
        <v>3.85E-2</v>
      </c>
      <c r="D2429">
        <f t="shared" si="149"/>
        <v>2017</v>
      </c>
      <c r="E2429" t="str">
        <f t="shared" si="150"/>
        <v>Oct-2017</v>
      </c>
      <c r="F2429" s="12">
        <f t="shared" si="151"/>
        <v>6.36</v>
      </c>
    </row>
    <row r="2430" spans="1:6" x14ac:dyDescent="0.25">
      <c r="A2430" s="1">
        <v>43020</v>
      </c>
      <c r="B2430">
        <v>3.91</v>
      </c>
      <c r="C2430" s="11">
        <f t="shared" si="148"/>
        <v>3.9100000000000003E-2</v>
      </c>
      <c r="D2430">
        <f t="shared" si="149"/>
        <v>2017</v>
      </c>
      <c r="E2430" t="str">
        <f t="shared" si="150"/>
        <v>Oct-2017</v>
      </c>
      <c r="F2430" s="12">
        <f t="shared" si="151"/>
        <v>6.36</v>
      </c>
    </row>
    <row r="2431" spans="1:6" x14ac:dyDescent="0.25">
      <c r="A2431" s="1">
        <v>43027</v>
      </c>
      <c r="B2431">
        <v>3.88</v>
      </c>
      <c r="C2431" s="11">
        <f t="shared" si="148"/>
        <v>3.8800000000000001E-2</v>
      </c>
      <c r="D2431">
        <f t="shared" si="149"/>
        <v>2017</v>
      </c>
      <c r="E2431" t="str">
        <f t="shared" si="150"/>
        <v>Oct-2017</v>
      </c>
      <c r="F2431" s="12">
        <f t="shared" si="151"/>
        <v>6.36</v>
      </c>
    </row>
    <row r="2432" spans="1:6" x14ac:dyDescent="0.25">
      <c r="A2432" s="1">
        <v>43034</v>
      </c>
      <c r="B2432">
        <v>3.94</v>
      </c>
      <c r="C2432" s="11">
        <f t="shared" si="148"/>
        <v>3.9399999999999998E-2</v>
      </c>
      <c r="D2432">
        <f t="shared" si="149"/>
        <v>2017</v>
      </c>
      <c r="E2432" t="str">
        <f t="shared" si="150"/>
        <v>Oct-2017</v>
      </c>
      <c r="F2432" s="12">
        <f t="shared" si="151"/>
        <v>6.36</v>
      </c>
    </row>
    <row r="2433" spans="1:6" x14ac:dyDescent="0.25">
      <c r="A2433" s="1">
        <v>43041</v>
      </c>
      <c r="B2433">
        <v>3.94</v>
      </c>
      <c r="C2433" s="11">
        <f t="shared" si="148"/>
        <v>3.9399999999999998E-2</v>
      </c>
      <c r="D2433">
        <f t="shared" si="149"/>
        <v>2017</v>
      </c>
      <c r="E2433" t="str">
        <f t="shared" si="150"/>
        <v>Nov-2017</v>
      </c>
      <c r="F2433" s="12">
        <f t="shared" si="151"/>
        <v>6.36</v>
      </c>
    </row>
    <row r="2434" spans="1:6" x14ac:dyDescent="0.25">
      <c r="A2434" s="1">
        <v>43048</v>
      </c>
      <c r="B2434">
        <v>3.9</v>
      </c>
      <c r="C2434" s="11">
        <f t="shared" ref="C2434:C2497" si="152">B2434/100</f>
        <v>3.9E-2</v>
      </c>
      <c r="D2434">
        <f t="shared" ref="D2434:D2497" si="153">YEAR(A2434)</f>
        <v>2017</v>
      </c>
      <c r="E2434" t="str">
        <f t="shared" ref="E2434:E2497" si="154">TEXT(A2434,"MMM-YYYY")</f>
        <v>Nov-2017</v>
      </c>
      <c r="F2434" s="12">
        <f t="shared" ref="F2434:F2497" si="155">$H$2</f>
        <v>6.36</v>
      </c>
    </row>
    <row r="2435" spans="1:6" x14ac:dyDescent="0.25">
      <c r="A2435" s="1">
        <v>43055</v>
      </c>
      <c r="B2435">
        <v>3.95</v>
      </c>
      <c r="C2435" s="11">
        <f t="shared" si="152"/>
        <v>3.95E-2</v>
      </c>
      <c r="D2435">
        <f t="shared" si="153"/>
        <v>2017</v>
      </c>
      <c r="E2435" t="str">
        <f t="shared" si="154"/>
        <v>Nov-2017</v>
      </c>
      <c r="F2435" s="12">
        <f t="shared" si="155"/>
        <v>6.36</v>
      </c>
    </row>
    <row r="2436" spans="1:6" x14ac:dyDescent="0.25">
      <c r="A2436" s="1">
        <v>43061</v>
      </c>
      <c r="B2436">
        <v>3.92</v>
      </c>
      <c r="C2436" s="11">
        <f t="shared" si="152"/>
        <v>3.9199999999999999E-2</v>
      </c>
      <c r="D2436">
        <f t="shared" si="153"/>
        <v>2017</v>
      </c>
      <c r="E2436" t="str">
        <f t="shared" si="154"/>
        <v>Nov-2017</v>
      </c>
      <c r="F2436" s="12">
        <f t="shared" si="155"/>
        <v>6.36</v>
      </c>
    </row>
    <row r="2437" spans="1:6" x14ac:dyDescent="0.25">
      <c r="A2437" s="1">
        <v>43069</v>
      </c>
      <c r="B2437">
        <v>3.9</v>
      </c>
      <c r="C2437" s="11">
        <f t="shared" si="152"/>
        <v>3.9E-2</v>
      </c>
      <c r="D2437">
        <f t="shared" si="153"/>
        <v>2017</v>
      </c>
      <c r="E2437" t="str">
        <f t="shared" si="154"/>
        <v>Nov-2017</v>
      </c>
      <c r="F2437" s="12">
        <f t="shared" si="155"/>
        <v>6.36</v>
      </c>
    </row>
    <row r="2438" spans="1:6" x14ac:dyDescent="0.25">
      <c r="A2438" s="1">
        <v>43076</v>
      </c>
      <c r="B2438">
        <v>3.94</v>
      </c>
      <c r="C2438" s="11">
        <f t="shared" si="152"/>
        <v>3.9399999999999998E-2</v>
      </c>
      <c r="D2438">
        <f t="shared" si="153"/>
        <v>2017</v>
      </c>
      <c r="E2438" t="str">
        <f t="shared" si="154"/>
        <v>Dec-2017</v>
      </c>
      <c r="F2438" s="12">
        <f t="shared" si="155"/>
        <v>6.36</v>
      </c>
    </row>
    <row r="2439" spans="1:6" x14ac:dyDescent="0.25">
      <c r="A2439" s="1">
        <v>43083</v>
      </c>
      <c r="B2439">
        <v>3.93</v>
      </c>
      <c r="C2439" s="11">
        <f t="shared" si="152"/>
        <v>3.9300000000000002E-2</v>
      </c>
      <c r="D2439">
        <f t="shared" si="153"/>
        <v>2017</v>
      </c>
      <c r="E2439" t="str">
        <f t="shared" si="154"/>
        <v>Dec-2017</v>
      </c>
      <c r="F2439" s="12">
        <f t="shared" si="155"/>
        <v>6.36</v>
      </c>
    </row>
    <row r="2440" spans="1:6" x14ac:dyDescent="0.25">
      <c r="A2440" s="1">
        <v>43090</v>
      </c>
      <c r="B2440">
        <v>3.94</v>
      </c>
      <c r="C2440" s="11">
        <f t="shared" si="152"/>
        <v>3.9399999999999998E-2</v>
      </c>
      <c r="D2440">
        <f t="shared" si="153"/>
        <v>2017</v>
      </c>
      <c r="E2440" t="str">
        <f t="shared" si="154"/>
        <v>Dec-2017</v>
      </c>
      <c r="F2440" s="12">
        <f t="shared" si="155"/>
        <v>6.36</v>
      </c>
    </row>
    <row r="2441" spans="1:6" x14ac:dyDescent="0.25">
      <c r="A2441" s="1">
        <v>43097</v>
      </c>
      <c r="B2441">
        <v>3.99</v>
      </c>
      <c r="C2441" s="11">
        <f t="shared" si="152"/>
        <v>3.9900000000000005E-2</v>
      </c>
      <c r="D2441">
        <f t="shared" si="153"/>
        <v>2017</v>
      </c>
      <c r="E2441" t="str">
        <f t="shared" si="154"/>
        <v>Dec-2017</v>
      </c>
      <c r="F2441" s="12">
        <f t="shared" si="155"/>
        <v>6.36</v>
      </c>
    </row>
    <row r="2442" spans="1:6" x14ac:dyDescent="0.25">
      <c r="A2442" s="1">
        <v>43104</v>
      </c>
      <c r="B2442">
        <v>3.95</v>
      </c>
      <c r="C2442" s="11">
        <f t="shared" si="152"/>
        <v>3.95E-2</v>
      </c>
      <c r="D2442">
        <f t="shared" si="153"/>
        <v>2018</v>
      </c>
      <c r="E2442" t="str">
        <f t="shared" si="154"/>
        <v>Jan-2018</v>
      </c>
      <c r="F2442" s="12">
        <f t="shared" si="155"/>
        <v>6.36</v>
      </c>
    </row>
    <row r="2443" spans="1:6" x14ac:dyDescent="0.25">
      <c r="A2443" s="1">
        <v>43111</v>
      </c>
      <c r="B2443">
        <v>3.99</v>
      </c>
      <c r="C2443" s="11">
        <f t="shared" si="152"/>
        <v>3.9900000000000005E-2</v>
      </c>
      <c r="D2443">
        <f t="shared" si="153"/>
        <v>2018</v>
      </c>
      <c r="E2443" t="str">
        <f t="shared" si="154"/>
        <v>Jan-2018</v>
      </c>
      <c r="F2443" s="12">
        <f t="shared" si="155"/>
        <v>6.36</v>
      </c>
    </row>
    <row r="2444" spans="1:6" x14ac:dyDescent="0.25">
      <c r="A2444" s="1">
        <v>43118</v>
      </c>
      <c r="B2444">
        <v>4.04</v>
      </c>
      <c r="C2444" s="11">
        <f t="shared" si="152"/>
        <v>4.0399999999999998E-2</v>
      </c>
      <c r="D2444">
        <f t="shared" si="153"/>
        <v>2018</v>
      </c>
      <c r="E2444" t="str">
        <f t="shared" si="154"/>
        <v>Jan-2018</v>
      </c>
      <c r="F2444" s="12">
        <f t="shared" si="155"/>
        <v>6.36</v>
      </c>
    </row>
    <row r="2445" spans="1:6" x14ac:dyDescent="0.25">
      <c r="A2445" s="1">
        <v>43125</v>
      </c>
      <c r="B2445">
        <v>4.1500000000000004</v>
      </c>
      <c r="C2445" s="11">
        <f t="shared" si="152"/>
        <v>4.1500000000000002E-2</v>
      </c>
      <c r="D2445">
        <f t="shared" si="153"/>
        <v>2018</v>
      </c>
      <c r="E2445" t="str">
        <f t="shared" si="154"/>
        <v>Jan-2018</v>
      </c>
      <c r="F2445" s="12">
        <f t="shared" si="155"/>
        <v>6.36</v>
      </c>
    </row>
    <row r="2446" spans="1:6" x14ac:dyDescent="0.25">
      <c r="A2446" s="1">
        <v>43132</v>
      </c>
      <c r="B2446">
        <v>4.22</v>
      </c>
      <c r="C2446" s="11">
        <f t="shared" si="152"/>
        <v>4.2199999999999994E-2</v>
      </c>
      <c r="D2446">
        <f t="shared" si="153"/>
        <v>2018</v>
      </c>
      <c r="E2446" t="str">
        <f t="shared" si="154"/>
        <v>Feb-2018</v>
      </c>
      <c r="F2446" s="12">
        <f t="shared" si="155"/>
        <v>6.36</v>
      </c>
    </row>
    <row r="2447" spans="1:6" x14ac:dyDescent="0.25">
      <c r="A2447" s="1">
        <v>43139</v>
      </c>
      <c r="B2447">
        <v>4.32</v>
      </c>
      <c r="C2447" s="11">
        <f t="shared" si="152"/>
        <v>4.3200000000000002E-2</v>
      </c>
      <c r="D2447">
        <f t="shared" si="153"/>
        <v>2018</v>
      </c>
      <c r="E2447" t="str">
        <f t="shared" si="154"/>
        <v>Feb-2018</v>
      </c>
      <c r="F2447" s="12">
        <f t="shared" si="155"/>
        <v>6.36</v>
      </c>
    </row>
    <row r="2448" spans="1:6" x14ac:dyDescent="0.25">
      <c r="A2448" s="1">
        <v>43146</v>
      </c>
      <c r="B2448">
        <v>4.38</v>
      </c>
      <c r="C2448" s="11">
        <f t="shared" si="152"/>
        <v>4.3799999999999999E-2</v>
      </c>
      <c r="D2448">
        <f t="shared" si="153"/>
        <v>2018</v>
      </c>
      <c r="E2448" t="str">
        <f t="shared" si="154"/>
        <v>Feb-2018</v>
      </c>
      <c r="F2448" s="12">
        <f t="shared" si="155"/>
        <v>6.36</v>
      </c>
    </row>
    <row r="2449" spans="1:6" x14ac:dyDescent="0.25">
      <c r="A2449" s="1">
        <v>43153</v>
      </c>
      <c r="B2449">
        <v>4.4000000000000004</v>
      </c>
      <c r="C2449" s="11">
        <f t="shared" si="152"/>
        <v>4.4000000000000004E-2</v>
      </c>
      <c r="D2449">
        <f t="shared" si="153"/>
        <v>2018</v>
      </c>
      <c r="E2449" t="str">
        <f t="shared" si="154"/>
        <v>Feb-2018</v>
      </c>
      <c r="F2449" s="12">
        <f t="shared" si="155"/>
        <v>6.36</v>
      </c>
    </row>
    <row r="2450" spans="1:6" x14ac:dyDescent="0.25">
      <c r="A2450" s="1">
        <v>43160</v>
      </c>
      <c r="B2450">
        <v>4.43</v>
      </c>
      <c r="C2450" s="11">
        <f t="shared" si="152"/>
        <v>4.4299999999999999E-2</v>
      </c>
      <c r="D2450">
        <f t="shared" si="153"/>
        <v>2018</v>
      </c>
      <c r="E2450" t="str">
        <f t="shared" si="154"/>
        <v>Mar-2018</v>
      </c>
      <c r="F2450" s="12">
        <f t="shared" si="155"/>
        <v>6.36</v>
      </c>
    </row>
    <row r="2451" spans="1:6" x14ac:dyDescent="0.25">
      <c r="A2451" s="1">
        <v>43167</v>
      </c>
      <c r="B2451">
        <v>4.46</v>
      </c>
      <c r="C2451" s="11">
        <f t="shared" si="152"/>
        <v>4.4600000000000001E-2</v>
      </c>
      <c r="D2451">
        <f t="shared" si="153"/>
        <v>2018</v>
      </c>
      <c r="E2451" t="str">
        <f t="shared" si="154"/>
        <v>Mar-2018</v>
      </c>
      <c r="F2451" s="12">
        <f t="shared" si="155"/>
        <v>6.36</v>
      </c>
    </row>
    <row r="2452" spans="1:6" x14ac:dyDescent="0.25">
      <c r="A2452" s="1">
        <v>43174</v>
      </c>
      <c r="B2452">
        <v>4.4400000000000004</v>
      </c>
      <c r="C2452" s="11">
        <f t="shared" si="152"/>
        <v>4.4400000000000002E-2</v>
      </c>
      <c r="D2452">
        <f t="shared" si="153"/>
        <v>2018</v>
      </c>
      <c r="E2452" t="str">
        <f t="shared" si="154"/>
        <v>Mar-2018</v>
      </c>
      <c r="F2452" s="12">
        <f t="shared" si="155"/>
        <v>6.36</v>
      </c>
    </row>
    <row r="2453" spans="1:6" x14ac:dyDescent="0.25">
      <c r="A2453" s="1">
        <v>43181</v>
      </c>
      <c r="B2453">
        <v>4.45</v>
      </c>
      <c r="C2453" s="11">
        <f t="shared" si="152"/>
        <v>4.4500000000000005E-2</v>
      </c>
      <c r="D2453">
        <f t="shared" si="153"/>
        <v>2018</v>
      </c>
      <c r="E2453" t="str">
        <f t="shared" si="154"/>
        <v>Mar-2018</v>
      </c>
      <c r="F2453" s="12">
        <f t="shared" si="155"/>
        <v>6.36</v>
      </c>
    </row>
    <row r="2454" spans="1:6" x14ac:dyDescent="0.25">
      <c r="A2454" s="1">
        <v>43188</v>
      </c>
      <c r="B2454">
        <v>4.4400000000000004</v>
      </c>
      <c r="C2454" s="11">
        <f t="shared" si="152"/>
        <v>4.4400000000000002E-2</v>
      </c>
      <c r="D2454">
        <f t="shared" si="153"/>
        <v>2018</v>
      </c>
      <c r="E2454" t="str">
        <f t="shared" si="154"/>
        <v>Mar-2018</v>
      </c>
      <c r="F2454" s="12">
        <f t="shared" si="155"/>
        <v>6.36</v>
      </c>
    </row>
    <row r="2455" spans="1:6" x14ac:dyDescent="0.25">
      <c r="A2455" s="1">
        <v>43195</v>
      </c>
      <c r="B2455">
        <v>4.4000000000000004</v>
      </c>
      <c r="C2455" s="11">
        <f t="shared" si="152"/>
        <v>4.4000000000000004E-2</v>
      </c>
      <c r="D2455">
        <f t="shared" si="153"/>
        <v>2018</v>
      </c>
      <c r="E2455" t="str">
        <f t="shared" si="154"/>
        <v>Apr-2018</v>
      </c>
      <c r="F2455" s="12">
        <f t="shared" si="155"/>
        <v>6.36</v>
      </c>
    </row>
    <row r="2456" spans="1:6" x14ac:dyDescent="0.25">
      <c r="A2456" s="1">
        <v>43202</v>
      </c>
      <c r="B2456">
        <v>4.42</v>
      </c>
      <c r="C2456" s="11">
        <f t="shared" si="152"/>
        <v>4.4199999999999996E-2</v>
      </c>
      <c r="D2456">
        <f t="shared" si="153"/>
        <v>2018</v>
      </c>
      <c r="E2456" t="str">
        <f t="shared" si="154"/>
        <v>Apr-2018</v>
      </c>
      <c r="F2456" s="12">
        <f t="shared" si="155"/>
        <v>6.36</v>
      </c>
    </row>
    <row r="2457" spans="1:6" x14ac:dyDescent="0.25">
      <c r="A2457" s="1">
        <v>43209</v>
      </c>
      <c r="B2457">
        <v>4.47</v>
      </c>
      <c r="C2457" s="11">
        <f t="shared" si="152"/>
        <v>4.4699999999999997E-2</v>
      </c>
      <c r="D2457">
        <f t="shared" si="153"/>
        <v>2018</v>
      </c>
      <c r="E2457" t="str">
        <f t="shared" si="154"/>
        <v>Apr-2018</v>
      </c>
      <c r="F2457" s="12">
        <f t="shared" si="155"/>
        <v>6.36</v>
      </c>
    </row>
    <row r="2458" spans="1:6" x14ac:dyDescent="0.25">
      <c r="A2458" s="1">
        <v>43216</v>
      </c>
      <c r="B2458">
        <v>4.58</v>
      </c>
      <c r="C2458" s="11">
        <f t="shared" si="152"/>
        <v>4.58E-2</v>
      </c>
      <c r="D2458">
        <f t="shared" si="153"/>
        <v>2018</v>
      </c>
      <c r="E2458" t="str">
        <f t="shared" si="154"/>
        <v>Apr-2018</v>
      </c>
      <c r="F2458" s="12">
        <f t="shared" si="155"/>
        <v>6.36</v>
      </c>
    </row>
    <row r="2459" spans="1:6" x14ac:dyDescent="0.25">
      <c r="A2459" s="1">
        <v>43223</v>
      </c>
      <c r="B2459">
        <v>4.55</v>
      </c>
      <c r="C2459" s="11">
        <f t="shared" si="152"/>
        <v>4.5499999999999999E-2</v>
      </c>
      <c r="D2459">
        <f t="shared" si="153"/>
        <v>2018</v>
      </c>
      <c r="E2459" t="str">
        <f t="shared" si="154"/>
        <v>May-2018</v>
      </c>
      <c r="F2459" s="12">
        <f t="shared" si="155"/>
        <v>6.36</v>
      </c>
    </row>
    <row r="2460" spans="1:6" x14ac:dyDescent="0.25">
      <c r="A2460" s="1">
        <v>43230</v>
      </c>
      <c r="B2460">
        <v>4.55</v>
      </c>
      <c r="C2460" s="11">
        <f t="shared" si="152"/>
        <v>4.5499999999999999E-2</v>
      </c>
      <c r="D2460">
        <f t="shared" si="153"/>
        <v>2018</v>
      </c>
      <c r="E2460" t="str">
        <f t="shared" si="154"/>
        <v>May-2018</v>
      </c>
      <c r="F2460" s="12">
        <f t="shared" si="155"/>
        <v>6.36</v>
      </c>
    </row>
    <row r="2461" spans="1:6" x14ac:dyDescent="0.25">
      <c r="A2461" s="1">
        <v>43237</v>
      </c>
      <c r="B2461">
        <v>4.6100000000000003</v>
      </c>
      <c r="C2461" s="11">
        <f t="shared" si="152"/>
        <v>4.6100000000000002E-2</v>
      </c>
      <c r="D2461">
        <f t="shared" si="153"/>
        <v>2018</v>
      </c>
      <c r="E2461" t="str">
        <f t="shared" si="154"/>
        <v>May-2018</v>
      </c>
      <c r="F2461" s="12">
        <f t="shared" si="155"/>
        <v>6.36</v>
      </c>
    </row>
    <row r="2462" spans="1:6" x14ac:dyDescent="0.25">
      <c r="A2462" s="1">
        <v>43244</v>
      </c>
      <c r="B2462">
        <v>4.66</v>
      </c>
      <c r="C2462" s="11">
        <f t="shared" si="152"/>
        <v>4.6600000000000003E-2</v>
      </c>
      <c r="D2462">
        <f t="shared" si="153"/>
        <v>2018</v>
      </c>
      <c r="E2462" t="str">
        <f t="shared" si="154"/>
        <v>May-2018</v>
      </c>
      <c r="F2462" s="12">
        <f t="shared" si="155"/>
        <v>6.36</v>
      </c>
    </row>
    <row r="2463" spans="1:6" x14ac:dyDescent="0.25">
      <c r="A2463" s="1">
        <v>43251</v>
      </c>
      <c r="B2463">
        <v>4.5599999999999996</v>
      </c>
      <c r="C2463" s="11">
        <f t="shared" si="152"/>
        <v>4.5599999999999995E-2</v>
      </c>
      <c r="D2463">
        <f t="shared" si="153"/>
        <v>2018</v>
      </c>
      <c r="E2463" t="str">
        <f t="shared" si="154"/>
        <v>May-2018</v>
      </c>
      <c r="F2463" s="12">
        <f t="shared" si="155"/>
        <v>6.36</v>
      </c>
    </row>
    <row r="2464" spans="1:6" x14ac:dyDescent="0.25">
      <c r="A2464" s="1">
        <v>43258</v>
      </c>
      <c r="B2464">
        <v>4.54</v>
      </c>
      <c r="C2464" s="11">
        <f t="shared" si="152"/>
        <v>4.5400000000000003E-2</v>
      </c>
      <c r="D2464">
        <f t="shared" si="153"/>
        <v>2018</v>
      </c>
      <c r="E2464" t="str">
        <f t="shared" si="154"/>
        <v>Jun-2018</v>
      </c>
      <c r="F2464" s="12">
        <f t="shared" si="155"/>
        <v>6.36</v>
      </c>
    </row>
    <row r="2465" spans="1:6" x14ac:dyDescent="0.25">
      <c r="A2465" s="1">
        <v>43265</v>
      </c>
      <c r="B2465">
        <v>4.62</v>
      </c>
      <c r="C2465" s="11">
        <f t="shared" si="152"/>
        <v>4.6199999999999998E-2</v>
      </c>
      <c r="D2465">
        <f t="shared" si="153"/>
        <v>2018</v>
      </c>
      <c r="E2465" t="str">
        <f t="shared" si="154"/>
        <v>Jun-2018</v>
      </c>
      <c r="F2465" s="12">
        <f t="shared" si="155"/>
        <v>6.36</v>
      </c>
    </row>
    <row r="2466" spans="1:6" x14ac:dyDescent="0.25">
      <c r="A2466" s="1">
        <v>43272</v>
      </c>
      <c r="B2466">
        <v>4.57</v>
      </c>
      <c r="C2466" s="11">
        <f t="shared" si="152"/>
        <v>4.5700000000000005E-2</v>
      </c>
      <c r="D2466">
        <f t="shared" si="153"/>
        <v>2018</v>
      </c>
      <c r="E2466" t="str">
        <f t="shared" si="154"/>
        <v>Jun-2018</v>
      </c>
      <c r="F2466" s="12">
        <f t="shared" si="155"/>
        <v>6.36</v>
      </c>
    </row>
    <row r="2467" spans="1:6" x14ac:dyDescent="0.25">
      <c r="A2467" s="1">
        <v>43279</v>
      </c>
      <c r="B2467">
        <v>4.55</v>
      </c>
      <c r="C2467" s="11">
        <f t="shared" si="152"/>
        <v>4.5499999999999999E-2</v>
      </c>
      <c r="D2467">
        <f t="shared" si="153"/>
        <v>2018</v>
      </c>
      <c r="E2467" t="str">
        <f t="shared" si="154"/>
        <v>Jun-2018</v>
      </c>
      <c r="F2467" s="12">
        <f t="shared" si="155"/>
        <v>6.36</v>
      </c>
    </row>
    <row r="2468" spans="1:6" x14ac:dyDescent="0.25">
      <c r="A2468" s="1">
        <v>43286</v>
      </c>
      <c r="B2468">
        <v>4.5199999999999996</v>
      </c>
      <c r="C2468" s="11">
        <f t="shared" si="152"/>
        <v>4.5199999999999997E-2</v>
      </c>
      <c r="D2468">
        <f t="shared" si="153"/>
        <v>2018</v>
      </c>
      <c r="E2468" t="str">
        <f t="shared" si="154"/>
        <v>Jul-2018</v>
      </c>
      <c r="F2468" s="12">
        <f t="shared" si="155"/>
        <v>6.36</v>
      </c>
    </row>
    <row r="2469" spans="1:6" x14ac:dyDescent="0.25">
      <c r="A2469" s="1">
        <v>43293</v>
      </c>
      <c r="B2469">
        <v>4.53</v>
      </c>
      <c r="C2469" s="11">
        <f t="shared" si="152"/>
        <v>4.53E-2</v>
      </c>
      <c r="D2469">
        <f t="shared" si="153"/>
        <v>2018</v>
      </c>
      <c r="E2469" t="str">
        <f t="shared" si="154"/>
        <v>Jul-2018</v>
      </c>
      <c r="F2469" s="12">
        <f t="shared" si="155"/>
        <v>6.36</v>
      </c>
    </row>
    <row r="2470" spans="1:6" x14ac:dyDescent="0.25">
      <c r="A2470" s="1">
        <v>43300</v>
      </c>
      <c r="B2470">
        <v>4.5199999999999996</v>
      </c>
      <c r="C2470" s="11">
        <f t="shared" si="152"/>
        <v>4.5199999999999997E-2</v>
      </c>
      <c r="D2470">
        <f t="shared" si="153"/>
        <v>2018</v>
      </c>
      <c r="E2470" t="str">
        <f t="shared" si="154"/>
        <v>Jul-2018</v>
      </c>
      <c r="F2470" s="12">
        <f t="shared" si="155"/>
        <v>6.36</v>
      </c>
    </row>
    <row r="2471" spans="1:6" x14ac:dyDescent="0.25">
      <c r="A2471" s="1">
        <v>43307</v>
      </c>
      <c r="B2471">
        <v>4.54</v>
      </c>
      <c r="C2471" s="11">
        <f t="shared" si="152"/>
        <v>4.5400000000000003E-2</v>
      </c>
      <c r="D2471">
        <f t="shared" si="153"/>
        <v>2018</v>
      </c>
      <c r="E2471" t="str">
        <f t="shared" si="154"/>
        <v>Jul-2018</v>
      </c>
      <c r="F2471" s="12">
        <f t="shared" si="155"/>
        <v>6.36</v>
      </c>
    </row>
    <row r="2472" spans="1:6" x14ac:dyDescent="0.25">
      <c r="A2472" s="1">
        <v>43314</v>
      </c>
      <c r="B2472">
        <v>4.5999999999999996</v>
      </c>
      <c r="C2472" s="11">
        <f t="shared" si="152"/>
        <v>4.5999999999999999E-2</v>
      </c>
      <c r="D2472">
        <f t="shared" si="153"/>
        <v>2018</v>
      </c>
      <c r="E2472" t="str">
        <f t="shared" si="154"/>
        <v>Aug-2018</v>
      </c>
      <c r="F2472" s="12">
        <f t="shared" si="155"/>
        <v>6.36</v>
      </c>
    </row>
    <row r="2473" spans="1:6" x14ac:dyDescent="0.25">
      <c r="A2473" s="1">
        <v>43321</v>
      </c>
      <c r="B2473">
        <v>4.59</v>
      </c>
      <c r="C2473" s="11">
        <f t="shared" si="152"/>
        <v>4.5899999999999996E-2</v>
      </c>
      <c r="D2473">
        <f t="shared" si="153"/>
        <v>2018</v>
      </c>
      <c r="E2473" t="str">
        <f t="shared" si="154"/>
        <v>Aug-2018</v>
      </c>
      <c r="F2473" s="12">
        <f t="shared" si="155"/>
        <v>6.36</v>
      </c>
    </row>
    <row r="2474" spans="1:6" x14ac:dyDescent="0.25">
      <c r="A2474" s="1">
        <v>43328</v>
      </c>
      <c r="B2474">
        <v>4.53</v>
      </c>
      <c r="C2474" s="11">
        <f t="shared" si="152"/>
        <v>4.53E-2</v>
      </c>
      <c r="D2474">
        <f t="shared" si="153"/>
        <v>2018</v>
      </c>
      <c r="E2474" t="str">
        <f t="shared" si="154"/>
        <v>Aug-2018</v>
      </c>
      <c r="F2474" s="12">
        <f t="shared" si="155"/>
        <v>6.36</v>
      </c>
    </row>
    <row r="2475" spans="1:6" x14ac:dyDescent="0.25">
      <c r="A2475" s="1">
        <v>43335</v>
      </c>
      <c r="B2475">
        <v>4.51</v>
      </c>
      <c r="C2475" s="11">
        <f t="shared" si="152"/>
        <v>4.5100000000000001E-2</v>
      </c>
      <c r="D2475">
        <f t="shared" si="153"/>
        <v>2018</v>
      </c>
      <c r="E2475" t="str">
        <f t="shared" si="154"/>
        <v>Aug-2018</v>
      </c>
      <c r="F2475" s="12">
        <f t="shared" si="155"/>
        <v>6.36</v>
      </c>
    </row>
    <row r="2476" spans="1:6" x14ac:dyDescent="0.25">
      <c r="A2476" s="1">
        <v>43342</v>
      </c>
      <c r="B2476">
        <v>4.5199999999999996</v>
      </c>
      <c r="C2476" s="11">
        <f t="shared" si="152"/>
        <v>4.5199999999999997E-2</v>
      </c>
      <c r="D2476">
        <f t="shared" si="153"/>
        <v>2018</v>
      </c>
      <c r="E2476" t="str">
        <f t="shared" si="154"/>
        <v>Aug-2018</v>
      </c>
      <c r="F2476" s="12">
        <f t="shared" si="155"/>
        <v>6.36</v>
      </c>
    </row>
    <row r="2477" spans="1:6" x14ac:dyDescent="0.25">
      <c r="A2477" s="1">
        <v>43349</v>
      </c>
      <c r="B2477">
        <v>4.54</v>
      </c>
      <c r="C2477" s="11">
        <f t="shared" si="152"/>
        <v>4.5400000000000003E-2</v>
      </c>
      <c r="D2477">
        <f t="shared" si="153"/>
        <v>2018</v>
      </c>
      <c r="E2477" t="str">
        <f t="shared" si="154"/>
        <v>Sep-2018</v>
      </c>
      <c r="F2477" s="12">
        <f t="shared" si="155"/>
        <v>6.36</v>
      </c>
    </row>
    <row r="2478" spans="1:6" x14ac:dyDescent="0.25">
      <c r="A2478" s="1">
        <v>43356</v>
      </c>
      <c r="B2478">
        <v>4.5999999999999996</v>
      </c>
      <c r="C2478" s="11">
        <f t="shared" si="152"/>
        <v>4.5999999999999999E-2</v>
      </c>
      <c r="D2478">
        <f t="shared" si="153"/>
        <v>2018</v>
      </c>
      <c r="E2478" t="str">
        <f t="shared" si="154"/>
        <v>Sep-2018</v>
      </c>
      <c r="F2478" s="12">
        <f t="shared" si="155"/>
        <v>6.36</v>
      </c>
    </row>
    <row r="2479" spans="1:6" x14ac:dyDescent="0.25">
      <c r="A2479" s="1">
        <v>43363</v>
      </c>
      <c r="B2479">
        <v>4.6500000000000004</v>
      </c>
      <c r="C2479" s="11">
        <f t="shared" si="152"/>
        <v>4.6500000000000007E-2</v>
      </c>
      <c r="D2479">
        <f t="shared" si="153"/>
        <v>2018</v>
      </c>
      <c r="E2479" t="str">
        <f t="shared" si="154"/>
        <v>Sep-2018</v>
      </c>
      <c r="F2479" s="12">
        <f t="shared" si="155"/>
        <v>6.36</v>
      </c>
    </row>
    <row r="2480" spans="1:6" x14ac:dyDescent="0.25">
      <c r="A2480" s="1">
        <v>43370</v>
      </c>
      <c r="B2480">
        <v>4.72</v>
      </c>
      <c r="C2480" s="11">
        <f t="shared" si="152"/>
        <v>4.7199999999999999E-2</v>
      </c>
      <c r="D2480">
        <f t="shared" si="153"/>
        <v>2018</v>
      </c>
      <c r="E2480" t="str">
        <f t="shared" si="154"/>
        <v>Sep-2018</v>
      </c>
      <c r="F2480" s="12">
        <f t="shared" si="155"/>
        <v>6.36</v>
      </c>
    </row>
    <row r="2481" spans="1:6" x14ac:dyDescent="0.25">
      <c r="A2481" s="1">
        <v>43377</v>
      </c>
      <c r="B2481">
        <v>4.71</v>
      </c>
      <c r="C2481" s="11">
        <f t="shared" si="152"/>
        <v>4.7100000000000003E-2</v>
      </c>
      <c r="D2481">
        <f t="shared" si="153"/>
        <v>2018</v>
      </c>
      <c r="E2481" t="str">
        <f t="shared" si="154"/>
        <v>Oct-2018</v>
      </c>
      <c r="F2481" s="12">
        <f t="shared" si="155"/>
        <v>6.36</v>
      </c>
    </row>
    <row r="2482" spans="1:6" x14ac:dyDescent="0.25">
      <c r="A2482" s="1">
        <v>43384</v>
      </c>
      <c r="B2482">
        <v>4.9000000000000004</v>
      </c>
      <c r="C2482" s="11">
        <f t="shared" si="152"/>
        <v>4.9000000000000002E-2</v>
      </c>
      <c r="D2482">
        <f t="shared" si="153"/>
        <v>2018</v>
      </c>
      <c r="E2482" t="str">
        <f t="shared" si="154"/>
        <v>Oct-2018</v>
      </c>
      <c r="F2482" s="12">
        <f t="shared" si="155"/>
        <v>6.36</v>
      </c>
    </row>
    <row r="2483" spans="1:6" x14ac:dyDescent="0.25">
      <c r="A2483" s="1">
        <v>43391</v>
      </c>
      <c r="B2483">
        <v>4.8499999999999996</v>
      </c>
      <c r="C2483" s="11">
        <f t="shared" si="152"/>
        <v>4.8499999999999995E-2</v>
      </c>
      <c r="D2483">
        <f t="shared" si="153"/>
        <v>2018</v>
      </c>
      <c r="E2483" t="str">
        <f t="shared" si="154"/>
        <v>Oct-2018</v>
      </c>
      <c r="F2483" s="12">
        <f t="shared" si="155"/>
        <v>6.36</v>
      </c>
    </row>
    <row r="2484" spans="1:6" x14ac:dyDescent="0.25">
      <c r="A2484" s="1">
        <v>43398</v>
      </c>
      <c r="B2484">
        <v>4.8600000000000003</v>
      </c>
      <c r="C2484" s="11">
        <f t="shared" si="152"/>
        <v>4.8600000000000004E-2</v>
      </c>
      <c r="D2484">
        <f t="shared" si="153"/>
        <v>2018</v>
      </c>
      <c r="E2484" t="str">
        <f t="shared" si="154"/>
        <v>Oct-2018</v>
      </c>
      <c r="F2484" s="12">
        <f t="shared" si="155"/>
        <v>6.36</v>
      </c>
    </row>
    <row r="2485" spans="1:6" x14ac:dyDescent="0.25">
      <c r="A2485" s="1">
        <v>43405</v>
      </c>
      <c r="B2485">
        <v>4.83</v>
      </c>
      <c r="C2485" s="11">
        <f t="shared" si="152"/>
        <v>4.8300000000000003E-2</v>
      </c>
      <c r="D2485">
        <f t="shared" si="153"/>
        <v>2018</v>
      </c>
      <c r="E2485" t="str">
        <f t="shared" si="154"/>
        <v>Nov-2018</v>
      </c>
      <c r="F2485" s="12">
        <f t="shared" si="155"/>
        <v>6.36</v>
      </c>
    </row>
    <row r="2486" spans="1:6" x14ac:dyDescent="0.25">
      <c r="A2486" s="1">
        <v>43412</v>
      </c>
      <c r="B2486">
        <v>4.9400000000000004</v>
      </c>
      <c r="C2486" s="11">
        <f t="shared" si="152"/>
        <v>4.9400000000000006E-2</v>
      </c>
      <c r="D2486">
        <f t="shared" si="153"/>
        <v>2018</v>
      </c>
      <c r="E2486" t="str">
        <f t="shared" si="154"/>
        <v>Nov-2018</v>
      </c>
      <c r="F2486" s="12">
        <f t="shared" si="155"/>
        <v>6.36</v>
      </c>
    </row>
    <row r="2487" spans="1:6" x14ac:dyDescent="0.25">
      <c r="A2487" s="1">
        <v>43419</v>
      </c>
      <c r="B2487">
        <v>4.9400000000000004</v>
      </c>
      <c r="C2487" s="11">
        <f t="shared" si="152"/>
        <v>4.9400000000000006E-2</v>
      </c>
      <c r="D2487">
        <f t="shared" si="153"/>
        <v>2018</v>
      </c>
      <c r="E2487" t="str">
        <f t="shared" si="154"/>
        <v>Nov-2018</v>
      </c>
      <c r="F2487" s="12">
        <f t="shared" si="155"/>
        <v>6.36</v>
      </c>
    </row>
    <row r="2488" spans="1:6" x14ac:dyDescent="0.25">
      <c r="A2488" s="1">
        <v>43425</v>
      </c>
      <c r="B2488">
        <v>4.8099999999999996</v>
      </c>
      <c r="C2488" s="11">
        <f t="shared" si="152"/>
        <v>4.8099999999999997E-2</v>
      </c>
      <c r="D2488">
        <f t="shared" si="153"/>
        <v>2018</v>
      </c>
      <c r="E2488" t="str">
        <f t="shared" si="154"/>
        <v>Nov-2018</v>
      </c>
      <c r="F2488" s="12">
        <f t="shared" si="155"/>
        <v>6.36</v>
      </c>
    </row>
    <row r="2489" spans="1:6" x14ac:dyDescent="0.25">
      <c r="A2489" s="1">
        <v>43433</v>
      </c>
      <c r="B2489">
        <v>4.8099999999999996</v>
      </c>
      <c r="C2489" s="11">
        <f t="shared" si="152"/>
        <v>4.8099999999999997E-2</v>
      </c>
      <c r="D2489">
        <f t="shared" si="153"/>
        <v>2018</v>
      </c>
      <c r="E2489" t="str">
        <f t="shared" si="154"/>
        <v>Nov-2018</v>
      </c>
      <c r="F2489" s="12">
        <f t="shared" si="155"/>
        <v>6.36</v>
      </c>
    </row>
    <row r="2490" spans="1:6" x14ac:dyDescent="0.25">
      <c r="A2490" s="1">
        <v>43440</v>
      </c>
      <c r="B2490">
        <v>4.75</v>
      </c>
      <c r="C2490" s="11">
        <f t="shared" si="152"/>
        <v>4.7500000000000001E-2</v>
      </c>
      <c r="D2490">
        <f t="shared" si="153"/>
        <v>2018</v>
      </c>
      <c r="E2490" t="str">
        <f t="shared" si="154"/>
        <v>Dec-2018</v>
      </c>
      <c r="F2490" s="12">
        <f t="shared" si="155"/>
        <v>6.36</v>
      </c>
    </row>
    <row r="2491" spans="1:6" x14ac:dyDescent="0.25">
      <c r="A2491" s="1">
        <v>43447</v>
      </c>
      <c r="B2491">
        <v>4.63</v>
      </c>
      <c r="C2491" s="11">
        <f t="shared" si="152"/>
        <v>4.6300000000000001E-2</v>
      </c>
      <c r="D2491">
        <f t="shared" si="153"/>
        <v>2018</v>
      </c>
      <c r="E2491" t="str">
        <f t="shared" si="154"/>
        <v>Dec-2018</v>
      </c>
      <c r="F2491" s="12">
        <f t="shared" si="155"/>
        <v>6.36</v>
      </c>
    </row>
    <row r="2492" spans="1:6" x14ac:dyDescent="0.25">
      <c r="A2492" s="1">
        <v>43454</v>
      </c>
      <c r="B2492">
        <v>4.62</v>
      </c>
      <c r="C2492" s="11">
        <f t="shared" si="152"/>
        <v>4.6199999999999998E-2</v>
      </c>
      <c r="D2492">
        <f t="shared" si="153"/>
        <v>2018</v>
      </c>
      <c r="E2492" t="str">
        <f t="shared" si="154"/>
        <v>Dec-2018</v>
      </c>
      <c r="F2492" s="12">
        <f t="shared" si="155"/>
        <v>6.36</v>
      </c>
    </row>
    <row r="2493" spans="1:6" x14ac:dyDescent="0.25">
      <c r="A2493" s="1">
        <v>43461</v>
      </c>
      <c r="B2493">
        <v>4.55</v>
      </c>
      <c r="C2493" s="11">
        <f t="shared" si="152"/>
        <v>4.5499999999999999E-2</v>
      </c>
      <c r="D2493">
        <f t="shared" si="153"/>
        <v>2018</v>
      </c>
      <c r="E2493" t="str">
        <f t="shared" si="154"/>
        <v>Dec-2018</v>
      </c>
      <c r="F2493" s="12">
        <f t="shared" si="155"/>
        <v>6.36</v>
      </c>
    </row>
    <row r="2494" spans="1:6" x14ac:dyDescent="0.25">
      <c r="A2494" s="1">
        <v>43468</v>
      </c>
      <c r="B2494">
        <v>4.51</v>
      </c>
      <c r="C2494" s="11">
        <f t="shared" si="152"/>
        <v>4.5100000000000001E-2</v>
      </c>
      <c r="D2494">
        <f t="shared" si="153"/>
        <v>2019</v>
      </c>
      <c r="E2494" t="str">
        <f t="shared" si="154"/>
        <v>Jan-2019</v>
      </c>
      <c r="F2494" s="12">
        <f t="shared" si="155"/>
        <v>6.36</v>
      </c>
    </row>
    <row r="2495" spans="1:6" x14ac:dyDescent="0.25">
      <c r="A2495" s="1">
        <v>43475</v>
      </c>
      <c r="B2495">
        <v>4.45</v>
      </c>
      <c r="C2495" s="11">
        <f t="shared" si="152"/>
        <v>4.4500000000000005E-2</v>
      </c>
      <c r="D2495">
        <f t="shared" si="153"/>
        <v>2019</v>
      </c>
      <c r="E2495" t="str">
        <f t="shared" si="154"/>
        <v>Jan-2019</v>
      </c>
      <c r="F2495" s="12">
        <f t="shared" si="155"/>
        <v>6.36</v>
      </c>
    </row>
    <row r="2496" spans="1:6" x14ac:dyDescent="0.25">
      <c r="A2496" s="1">
        <v>43482</v>
      </c>
      <c r="B2496">
        <v>4.45</v>
      </c>
      <c r="C2496" s="11">
        <f t="shared" si="152"/>
        <v>4.4500000000000005E-2</v>
      </c>
      <c r="D2496">
        <f t="shared" si="153"/>
        <v>2019</v>
      </c>
      <c r="E2496" t="str">
        <f t="shared" si="154"/>
        <v>Jan-2019</v>
      </c>
      <c r="F2496" s="12">
        <f t="shared" si="155"/>
        <v>6.36</v>
      </c>
    </row>
    <row r="2497" spans="1:6" x14ac:dyDescent="0.25">
      <c r="A2497" s="1">
        <v>43489</v>
      </c>
      <c r="B2497">
        <v>4.45</v>
      </c>
      <c r="C2497" s="11">
        <f t="shared" si="152"/>
        <v>4.4500000000000005E-2</v>
      </c>
      <c r="D2497">
        <f t="shared" si="153"/>
        <v>2019</v>
      </c>
      <c r="E2497" t="str">
        <f t="shared" si="154"/>
        <v>Jan-2019</v>
      </c>
      <c r="F2497" s="12">
        <f t="shared" si="155"/>
        <v>6.36</v>
      </c>
    </row>
    <row r="2498" spans="1:6" x14ac:dyDescent="0.25">
      <c r="A2498" s="1">
        <v>43496</v>
      </c>
      <c r="B2498">
        <v>4.46</v>
      </c>
      <c r="C2498" s="11">
        <f t="shared" ref="C2498:C2561" si="156">B2498/100</f>
        <v>4.4600000000000001E-2</v>
      </c>
      <c r="D2498">
        <f t="shared" ref="D2498:D2561" si="157">YEAR(A2498)</f>
        <v>2019</v>
      </c>
      <c r="E2498" t="str">
        <f t="shared" ref="E2498:E2561" si="158">TEXT(A2498,"MMM-YYYY")</f>
        <v>Jan-2019</v>
      </c>
      <c r="F2498" s="12">
        <f t="shared" ref="F2498:F2561" si="159">$H$2</f>
        <v>6.36</v>
      </c>
    </row>
    <row r="2499" spans="1:6" x14ac:dyDescent="0.25">
      <c r="A2499" s="1">
        <v>43503</v>
      </c>
      <c r="B2499">
        <v>4.41</v>
      </c>
      <c r="C2499" s="11">
        <f t="shared" si="156"/>
        <v>4.41E-2</v>
      </c>
      <c r="D2499">
        <f t="shared" si="157"/>
        <v>2019</v>
      </c>
      <c r="E2499" t="str">
        <f t="shared" si="158"/>
        <v>Feb-2019</v>
      </c>
      <c r="F2499" s="12">
        <f t="shared" si="159"/>
        <v>6.36</v>
      </c>
    </row>
    <row r="2500" spans="1:6" x14ac:dyDescent="0.25">
      <c r="A2500" s="1">
        <v>43510</v>
      </c>
      <c r="B2500">
        <v>4.37</v>
      </c>
      <c r="C2500" s="11">
        <f t="shared" si="156"/>
        <v>4.3700000000000003E-2</v>
      </c>
      <c r="D2500">
        <f t="shared" si="157"/>
        <v>2019</v>
      </c>
      <c r="E2500" t="str">
        <f t="shared" si="158"/>
        <v>Feb-2019</v>
      </c>
      <c r="F2500" s="12">
        <f t="shared" si="159"/>
        <v>6.36</v>
      </c>
    </row>
    <row r="2501" spans="1:6" x14ac:dyDescent="0.25">
      <c r="A2501" s="1">
        <v>43517</v>
      </c>
      <c r="B2501">
        <v>4.3499999999999996</v>
      </c>
      <c r="C2501" s="11">
        <f t="shared" si="156"/>
        <v>4.3499999999999997E-2</v>
      </c>
      <c r="D2501">
        <f t="shared" si="157"/>
        <v>2019</v>
      </c>
      <c r="E2501" t="str">
        <f t="shared" si="158"/>
        <v>Feb-2019</v>
      </c>
      <c r="F2501" s="12">
        <f t="shared" si="159"/>
        <v>6.36</v>
      </c>
    </row>
    <row r="2502" spans="1:6" x14ac:dyDescent="0.25">
      <c r="A2502" s="1">
        <v>43524</v>
      </c>
      <c r="B2502">
        <v>4.3499999999999996</v>
      </c>
      <c r="C2502" s="11">
        <f t="shared" si="156"/>
        <v>4.3499999999999997E-2</v>
      </c>
      <c r="D2502">
        <f t="shared" si="157"/>
        <v>2019</v>
      </c>
      <c r="E2502" t="str">
        <f t="shared" si="158"/>
        <v>Feb-2019</v>
      </c>
      <c r="F2502" s="12">
        <f t="shared" si="159"/>
        <v>6.36</v>
      </c>
    </row>
    <row r="2503" spans="1:6" x14ac:dyDescent="0.25">
      <c r="A2503" s="1">
        <v>43531</v>
      </c>
      <c r="B2503">
        <v>4.41</v>
      </c>
      <c r="C2503" s="11">
        <f t="shared" si="156"/>
        <v>4.41E-2</v>
      </c>
      <c r="D2503">
        <f t="shared" si="157"/>
        <v>2019</v>
      </c>
      <c r="E2503" t="str">
        <f t="shared" si="158"/>
        <v>Mar-2019</v>
      </c>
      <c r="F2503" s="12">
        <f t="shared" si="159"/>
        <v>6.36</v>
      </c>
    </row>
    <row r="2504" spans="1:6" x14ac:dyDescent="0.25">
      <c r="A2504" s="1">
        <v>43538</v>
      </c>
      <c r="B2504">
        <v>4.3099999999999996</v>
      </c>
      <c r="C2504" s="11">
        <f t="shared" si="156"/>
        <v>4.3099999999999999E-2</v>
      </c>
      <c r="D2504">
        <f t="shared" si="157"/>
        <v>2019</v>
      </c>
      <c r="E2504" t="str">
        <f t="shared" si="158"/>
        <v>Mar-2019</v>
      </c>
      <c r="F2504" s="12">
        <f t="shared" si="159"/>
        <v>6.36</v>
      </c>
    </row>
    <row r="2505" spans="1:6" x14ac:dyDescent="0.25">
      <c r="A2505" s="1">
        <v>43545</v>
      </c>
      <c r="B2505">
        <v>4.28</v>
      </c>
      <c r="C2505" s="11">
        <f t="shared" si="156"/>
        <v>4.2800000000000005E-2</v>
      </c>
      <c r="D2505">
        <f t="shared" si="157"/>
        <v>2019</v>
      </c>
      <c r="E2505" t="str">
        <f t="shared" si="158"/>
        <v>Mar-2019</v>
      </c>
      <c r="F2505" s="12">
        <f t="shared" si="159"/>
        <v>6.36</v>
      </c>
    </row>
    <row r="2506" spans="1:6" x14ac:dyDescent="0.25">
      <c r="A2506" s="1">
        <v>43552</v>
      </c>
      <c r="B2506">
        <v>4.0599999999999996</v>
      </c>
      <c r="C2506" s="11">
        <f t="shared" si="156"/>
        <v>4.0599999999999997E-2</v>
      </c>
      <c r="D2506">
        <f t="shared" si="157"/>
        <v>2019</v>
      </c>
      <c r="E2506" t="str">
        <f t="shared" si="158"/>
        <v>Mar-2019</v>
      </c>
      <c r="F2506" s="12">
        <f t="shared" si="159"/>
        <v>6.36</v>
      </c>
    </row>
    <row r="2507" spans="1:6" x14ac:dyDescent="0.25">
      <c r="A2507" s="1">
        <v>43559</v>
      </c>
      <c r="B2507">
        <v>4.08</v>
      </c>
      <c r="C2507" s="11">
        <f t="shared" si="156"/>
        <v>4.0800000000000003E-2</v>
      </c>
      <c r="D2507">
        <f t="shared" si="157"/>
        <v>2019</v>
      </c>
      <c r="E2507" t="str">
        <f t="shared" si="158"/>
        <v>Apr-2019</v>
      </c>
      <c r="F2507" s="12">
        <f t="shared" si="159"/>
        <v>6.36</v>
      </c>
    </row>
    <row r="2508" spans="1:6" x14ac:dyDescent="0.25">
      <c r="A2508" s="1">
        <v>43566</v>
      </c>
      <c r="B2508">
        <v>4.12</v>
      </c>
      <c r="C2508" s="11">
        <f t="shared" si="156"/>
        <v>4.1200000000000001E-2</v>
      </c>
      <c r="D2508">
        <f t="shared" si="157"/>
        <v>2019</v>
      </c>
      <c r="E2508" t="str">
        <f t="shared" si="158"/>
        <v>Apr-2019</v>
      </c>
      <c r="F2508" s="12">
        <f t="shared" si="159"/>
        <v>6.36</v>
      </c>
    </row>
    <row r="2509" spans="1:6" x14ac:dyDescent="0.25">
      <c r="A2509" s="1">
        <v>43573</v>
      </c>
      <c r="B2509">
        <v>4.17</v>
      </c>
      <c r="C2509" s="11">
        <f t="shared" si="156"/>
        <v>4.1700000000000001E-2</v>
      </c>
      <c r="D2509">
        <f t="shared" si="157"/>
        <v>2019</v>
      </c>
      <c r="E2509" t="str">
        <f t="shared" si="158"/>
        <v>Apr-2019</v>
      </c>
      <c r="F2509" s="12">
        <f t="shared" si="159"/>
        <v>6.36</v>
      </c>
    </row>
    <row r="2510" spans="1:6" x14ac:dyDescent="0.25">
      <c r="A2510" s="1">
        <v>43580</v>
      </c>
      <c r="B2510">
        <v>4.2</v>
      </c>
      <c r="C2510" s="11">
        <f t="shared" si="156"/>
        <v>4.2000000000000003E-2</v>
      </c>
      <c r="D2510">
        <f t="shared" si="157"/>
        <v>2019</v>
      </c>
      <c r="E2510" t="str">
        <f t="shared" si="158"/>
        <v>Apr-2019</v>
      </c>
      <c r="F2510" s="12">
        <f t="shared" si="159"/>
        <v>6.36</v>
      </c>
    </row>
    <row r="2511" spans="1:6" x14ac:dyDescent="0.25">
      <c r="A2511" s="1">
        <v>43587</v>
      </c>
      <c r="B2511">
        <v>4.1399999999999997</v>
      </c>
      <c r="C2511" s="11">
        <f t="shared" si="156"/>
        <v>4.1399999999999999E-2</v>
      </c>
      <c r="D2511">
        <f t="shared" si="157"/>
        <v>2019</v>
      </c>
      <c r="E2511" t="str">
        <f t="shared" si="158"/>
        <v>May-2019</v>
      </c>
      <c r="F2511" s="12">
        <f t="shared" si="159"/>
        <v>6.36</v>
      </c>
    </row>
    <row r="2512" spans="1:6" x14ac:dyDescent="0.25">
      <c r="A2512" s="1">
        <v>43594</v>
      </c>
      <c r="B2512">
        <v>4.0999999999999996</v>
      </c>
      <c r="C2512" s="11">
        <f t="shared" si="156"/>
        <v>4.0999999999999995E-2</v>
      </c>
      <c r="D2512">
        <f t="shared" si="157"/>
        <v>2019</v>
      </c>
      <c r="E2512" t="str">
        <f t="shared" si="158"/>
        <v>May-2019</v>
      </c>
      <c r="F2512" s="12">
        <f t="shared" si="159"/>
        <v>6.36</v>
      </c>
    </row>
    <row r="2513" spans="1:6" x14ac:dyDescent="0.25">
      <c r="A2513" s="1">
        <v>43601</v>
      </c>
      <c r="B2513">
        <v>4.07</v>
      </c>
      <c r="C2513" s="11">
        <f t="shared" si="156"/>
        <v>4.07E-2</v>
      </c>
      <c r="D2513">
        <f t="shared" si="157"/>
        <v>2019</v>
      </c>
      <c r="E2513" t="str">
        <f t="shared" si="158"/>
        <v>May-2019</v>
      </c>
      <c r="F2513" s="12">
        <f t="shared" si="159"/>
        <v>6.36</v>
      </c>
    </row>
    <row r="2514" spans="1:6" x14ac:dyDescent="0.25">
      <c r="A2514" s="1">
        <v>43608</v>
      </c>
      <c r="B2514">
        <v>4.0599999999999996</v>
      </c>
      <c r="C2514" s="11">
        <f t="shared" si="156"/>
        <v>4.0599999999999997E-2</v>
      </c>
      <c r="D2514">
        <f t="shared" si="157"/>
        <v>2019</v>
      </c>
      <c r="E2514" t="str">
        <f t="shared" si="158"/>
        <v>May-2019</v>
      </c>
      <c r="F2514" s="12">
        <f t="shared" si="159"/>
        <v>6.36</v>
      </c>
    </row>
    <row r="2515" spans="1:6" x14ac:dyDescent="0.25">
      <c r="A2515" s="1">
        <v>43615</v>
      </c>
      <c r="B2515">
        <v>3.99</v>
      </c>
      <c r="C2515" s="11">
        <f t="shared" si="156"/>
        <v>3.9900000000000005E-2</v>
      </c>
      <c r="D2515">
        <f t="shared" si="157"/>
        <v>2019</v>
      </c>
      <c r="E2515" t="str">
        <f t="shared" si="158"/>
        <v>May-2019</v>
      </c>
      <c r="F2515" s="12">
        <f t="shared" si="159"/>
        <v>6.36</v>
      </c>
    </row>
    <row r="2516" spans="1:6" x14ac:dyDescent="0.25">
      <c r="A2516" s="1">
        <v>43622</v>
      </c>
      <c r="B2516">
        <v>3.82</v>
      </c>
      <c r="C2516" s="11">
        <f t="shared" si="156"/>
        <v>3.8199999999999998E-2</v>
      </c>
      <c r="D2516">
        <f t="shared" si="157"/>
        <v>2019</v>
      </c>
      <c r="E2516" t="str">
        <f t="shared" si="158"/>
        <v>Jun-2019</v>
      </c>
      <c r="F2516" s="12">
        <f t="shared" si="159"/>
        <v>6.36</v>
      </c>
    </row>
    <row r="2517" spans="1:6" x14ac:dyDescent="0.25">
      <c r="A2517" s="1">
        <v>43629</v>
      </c>
      <c r="B2517">
        <v>3.82</v>
      </c>
      <c r="C2517" s="11">
        <f t="shared" si="156"/>
        <v>3.8199999999999998E-2</v>
      </c>
      <c r="D2517">
        <f t="shared" si="157"/>
        <v>2019</v>
      </c>
      <c r="E2517" t="str">
        <f t="shared" si="158"/>
        <v>Jun-2019</v>
      </c>
      <c r="F2517" s="12">
        <f t="shared" si="159"/>
        <v>6.36</v>
      </c>
    </row>
    <row r="2518" spans="1:6" x14ac:dyDescent="0.25">
      <c r="A2518" s="1">
        <v>43636</v>
      </c>
      <c r="B2518">
        <v>3.84</v>
      </c>
      <c r="C2518" s="11">
        <f t="shared" si="156"/>
        <v>3.8399999999999997E-2</v>
      </c>
      <c r="D2518">
        <f t="shared" si="157"/>
        <v>2019</v>
      </c>
      <c r="E2518" t="str">
        <f t="shared" si="158"/>
        <v>Jun-2019</v>
      </c>
      <c r="F2518" s="12">
        <f t="shared" si="159"/>
        <v>6.36</v>
      </c>
    </row>
    <row r="2519" spans="1:6" x14ac:dyDescent="0.25">
      <c r="A2519" s="1">
        <v>43643</v>
      </c>
      <c r="B2519">
        <v>3.73</v>
      </c>
      <c r="C2519" s="11">
        <f t="shared" si="156"/>
        <v>3.73E-2</v>
      </c>
      <c r="D2519">
        <f t="shared" si="157"/>
        <v>2019</v>
      </c>
      <c r="E2519" t="str">
        <f t="shared" si="158"/>
        <v>Jun-2019</v>
      </c>
      <c r="F2519" s="12">
        <f t="shared" si="159"/>
        <v>6.36</v>
      </c>
    </row>
    <row r="2520" spans="1:6" x14ac:dyDescent="0.25">
      <c r="A2520" s="1">
        <v>43649</v>
      </c>
      <c r="B2520">
        <v>3.75</v>
      </c>
      <c r="C2520" s="11">
        <f t="shared" si="156"/>
        <v>3.7499999999999999E-2</v>
      </c>
      <c r="D2520">
        <f t="shared" si="157"/>
        <v>2019</v>
      </c>
      <c r="E2520" t="str">
        <f t="shared" si="158"/>
        <v>Jul-2019</v>
      </c>
      <c r="F2520" s="12">
        <f t="shared" si="159"/>
        <v>6.36</v>
      </c>
    </row>
    <row r="2521" spans="1:6" x14ac:dyDescent="0.25">
      <c r="A2521" s="1">
        <v>43657</v>
      </c>
      <c r="B2521">
        <v>3.75</v>
      </c>
      <c r="C2521" s="11">
        <f t="shared" si="156"/>
        <v>3.7499999999999999E-2</v>
      </c>
      <c r="D2521">
        <f t="shared" si="157"/>
        <v>2019</v>
      </c>
      <c r="E2521" t="str">
        <f t="shared" si="158"/>
        <v>Jul-2019</v>
      </c>
      <c r="F2521" s="12">
        <f t="shared" si="159"/>
        <v>6.36</v>
      </c>
    </row>
    <row r="2522" spans="1:6" x14ac:dyDescent="0.25">
      <c r="A2522" s="1">
        <v>43664</v>
      </c>
      <c r="B2522">
        <v>3.81</v>
      </c>
      <c r="C2522" s="11">
        <f t="shared" si="156"/>
        <v>3.8100000000000002E-2</v>
      </c>
      <c r="D2522">
        <f t="shared" si="157"/>
        <v>2019</v>
      </c>
      <c r="E2522" t="str">
        <f t="shared" si="158"/>
        <v>Jul-2019</v>
      </c>
      <c r="F2522" s="12">
        <f t="shared" si="159"/>
        <v>6.36</v>
      </c>
    </row>
    <row r="2523" spans="1:6" x14ac:dyDescent="0.25">
      <c r="A2523" s="1">
        <v>43671</v>
      </c>
      <c r="B2523">
        <v>3.75</v>
      </c>
      <c r="C2523" s="11">
        <f t="shared" si="156"/>
        <v>3.7499999999999999E-2</v>
      </c>
      <c r="D2523">
        <f t="shared" si="157"/>
        <v>2019</v>
      </c>
      <c r="E2523" t="str">
        <f t="shared" si="158"/>
        <v>Jul-2019</v>
      </c>
      <c r="F2523" s="12">
        <f t="shared" si="159"/>
        <v>6.36</v>
      </c>
    </row>
    <row r="2524" spans="1:6" x14ac:dyDescent="0.25">
      <c r="A2524" s="1">
        <v>43678</v>
      </c>
      <c r="B2524">
        <v>3.75</v>
      </c>
      <c r="C2524" s="11">
        <f t="shared" si="156"/>
        <v>3.7499999999999999E-2</v>
      </c>
      <c r="D2524">
        <f t="shared" si="157"/>
        <v>2019</v>
      </c>
      <c r="E2524" t="str">
        <f t="shared" si="158"/>
        <v>Aug-2019</v>
      </c>
      <c r="F2524" s="12">
        <f t="shared" si="159"/>
        <v>6.36</v>
      </c>
    </row>
    <row r="2525" spans="1:6" x14ac:dyDescent="0.25">
      <c r="A2525" s="1">
        <v>43685</v>
      </c>
      <c r="B2525">
        <v>3.6</v>
      </c>
      <c r="C2525" s="11">
        <f t="shared" si="156"/>
        <v>3.6000000000000004E-2</v>
      </c>
      <c r="D2525">
        <f t="shared" si="157"/>
        <v>2019</v>
      </c>
      <c r="E2525" t="str">
        <f t="shared" si="158"/>
        <v>Aug-2019</v>
      </c>
      <c r="F2525" s="12">
        <f t="shared" si="159"/>
        <v>6.36</v>
      </c>
    </row>
    <row r="2526" spans="1:6" x14ac:dyDescent="0.25">
      <c r="A2526" s="1">
        <v>43692</v>
      </c>
      <c r="B2526">
        <v>3.6</v>
      </c>
      <c r="C2526" s="11">
        <f t="shared" si="156"/>
        <v>3.6000000000000004E-2</v>
      </c>
      <c r="D2526">
        <f t="shared" si="157"/>
        <v>2019</v>
      </c>
      <c r="E2526" t="str">
        <f t="shared" si="158"/>
        <v>Aug-2019</v>
      </c>
      <c r="F2526" s="12">
        <f t="shared" si="159"/>
        <v>6.36</v>
      </c>
    </row>
    <row r="2527" spans="1:6" x14ac:dyDescent="0.25">
      <c r="A2527" s="1">
        <v>43699</v>
      </c>
      <c r="B2527">
        <v>3.55</v>
      </c>
      <c r="C2527" s="11">
        <f t="shared" si="156"/>
        <v>3.5499999999999997E-2</v>
      </c>
      <c r="D2527">
        <f t="shared" si="157"/>
        <v>2019</v>
      </c>
      <c r="E2527" t="str">
        <f t="shared" si="158"/>
        <v>Aug-2019</v>
      </c>
      <c r="F2527" s="12">
        <f t="shared" si="159"/>
        <v>6.36</v>
      </c>
    </row>
    <row r="2528" spans="1:6" x14ac:dyDescent="0.25">
      <c r="A2528" s="1">
        <v>43706</v>
      </c>
      <c r="B2528">
        <v>3.58</v>
      </c>
      <c r="C2528" s="11">
        <f t="shared" si="156"/>
        <v>3.5799999999999998E-2</v>
      </c>
      <c r="D2528">
        <f t="shared" si="157"/>
        <v>2019</v>
      </c>
      <c r="E2528" t="str">
        <f t="shared" si="158"/>
        <v>Aug-2019</v>
      </c>
      <c r="F2528" s="12">
        <f t="shared" si="159"/>
        <v>6.36</v>
      </c>
    </row>
    <row r="2529" spans="1:6" x14ac:dyDescent="0.25">
      <c r="A2529" s="1">
        <v>43713</v>
      </c>
      <c r="B2529">
        <v>3.49</v>
      </c>
      <c r="C2529" s="11">
        <f t="shared" si="156"/>
        <v>3.49E-2</v>
      </c>
      <c r="D2529">
        <f t="shared" si="157"/>
        <v>2019</v>
      </c>
      <c r="E2529" t="str">
        <f t="shared" si="158"/>
        <v>Sep-2019</v>
      </c>
      <c r="F2529" s="12">
        <f t="shared" si="159"/>
        <v>6.36</v>
      </c>
    </row>
    <row r="2530" spans="1:6" x14ac:dyDescent="0.25">
      <c r="A2530" s="1">
        <v>43720</v>
      </c>
      <c r="B2530">
        <v>3.56</v>
      </c>
      <c r="C2530" s="11">
        <f t="shared" si="156"/>
        <v>3.56E-2</v>
      </c>
      <c r="D2530">
        <f t="shared" si="157"/>
        <v>2019</v>
      </c>
      <c r="E2530" t="str">
        <f t="shared" si="158"/>
        <v>Sep-2019</v>
      </c>
      <c r="F2530" s="12">
        <f t="shared" si="159"/>
        <v>6.36</v>
      </c>
    </row>
    <row r="2531" spans="1:6" x14ac:dyDescent="0.25">
      <c r="A2531" s="1">
        <v>43727</v>
      </c>
      <c r="B2531">
        <v>3.73</v>
      </c>
      <c r="C2531" s="11">
        <f t="shared" si="156"/>
        <v>3.73E-2</v>
      </c>
      <c r="D2531">
        <f t="shared" si="157"/>
        <v>2019</v>
      </c>
      <c r="E2531" t="str">
        <f t="shared" si="158"/>
        <v>Sep-2019</v>
      </c>
      <c r="F2531" s="12">
        <f t="shared" si="159"/>
        <v>6.36</v>
      </c>
    </row>
    <row r="2532" spans="1:6" x14ac:dyDescent="0.25">
      <c r="A2532" s="1">
        <v>43734</v>
      </c>
      <c r="B2532">
        <v>3.64</v>
      </c>
      <c r="C2532" s="11">
        <f t="shared" si="156"/>
        <v>3.6400000000000002E-2</v>
      </c>
      <c r="D2532">
        <f t="shared" si="157"/>
        <v>2019</v>
      </c>
      <c r="E2532" t="str">
        <f t="shared" si="158"/>
        <v>Sep-2019</v>
      </c>
      <c r="F2532" s="12">
        <f t="shared" si="159"/>
        <v>6.36</v>
      </c>
    </row>
    <row r="2533" spans="1:6" x14ac:dyDescent="0.25">
      <c r="A2533" s="1">
        <v>43741</v>
      </c>
      <c r="B2533">
        <v>3.65</v>
      </c>
      <c r="C2533" s="11">
        <f t="shared" si="156"/>
        <v>3.6499999999999998E-2</v>
      </c>
      <c r="D2533">
        <f t="shared" si="157"/>
        <v>2019</v>
      </c>
      <c r="E2533" t="str">
        <f t="shared" si="158"/>
        <v>Oct-2019</v>
      </c>
      <c r="F2533" s="12">
        <f t="shared" si="159"/>
        <v>6.36</v>
      </c>
    </row>
    <row r="2534" spans="1:6" x14ac:dyDescent="0.25">
      <c r="A2534" s="1">
        <v>43748</v>
      </c>
      <c r="B2534">
        <v>3.57</v>
      </c>
      <c r="C2534" s="11">
        <f t="shared" si="156"/>
        <v>3.5699999999999996E-2</v>
      </c>
      <c r="D2534">
        <f t="shared" si="157"/>
        <v>2019</v>
      </c>
      <c r="E2534" t="str">
        <f t="shared" si="158"/>
        <v>Oct-2019</v>
      </c>
      <c r="F2534" s="12">
        <f t="shared" si="159"/>
        <v>6.36</v>
      </c>
    </row>
    <row r="2535" spans="1:6" x14ac:dyDescent="0.25">
      <c r="A2535" s="1">
        <v>43755</v>
      </c>
      <c r="B2535">
        <v>3.69</v>
      </c>
      <c r="C2535" s="11">
        <f t="shared" si="156"/>
        <v>3.6900000000000002E-2</v>
      </c>
      <c r="D2535">
        <f t="shared" si="157"/>
        <v>2019</v>
      </c>
      <c r="E2535" t="str">
        <f t="shared" si="158"/>
        <v>Oct-2019</v>
      </c>
      <c r="F2535" s="12">
        <f t="shared" si="159"/>
        <v>6.36</v>
      </c>
    </row>
    <row r="2536" spans="1:6" x14ac:dyDescent="0.25">
      <c r="A2536" s="1">
        <v>43762</v>
      </c>
      <c r="B2536">
        <v>3.75</v>
      </c>
      <c r="C2536" s="11">
        <f t="shared" si="156"/>
        <v>3.7499999999999999E-2</v>
      </c>
      <c r="D2536">
        <f t="shared" si="157"/>
        <v>2019</v>
      </c>
      <c r="E2536" t="str">
        <f t="shared" si="158"/>
        <v>Oct-2019</v>
      </c>
      <c r="F2536" s="12">
        <f t="shared" si="159"/>
        <v>6.36</v>
      </c>
    </row>
    <row r="2537" spans="1:6" x14ac:dyDescent="0.25">
      <c r="A2537" s="1">
        <v>43769</v>
      </c>
      <c r="B2537">
        <v>3.78</v>
      </c>
      <c r="C2537" s="11">
        <f t="shared" si="156"/>
        <v>3.78E-2</v>
      </c>
      <c r="D2537">
        <f t="shared" si="157"/>
        <v>2019</v>
      </c>
      <c r="E2537" t="str">
        <f t="shared" si="158"/>
        <v>Oct-2019</v>
      </c>
      <c r="F2537" s="12">
        <f t="shared" si="159"/>
        <v>6.36</v>
      </c>
    </row>
    <row r="2538" spans="1:6" x14ac:dyDescent="0.25">
      <c r="A2538" s="1">
        <v>43776</v>
      </c>
      <c r="B2538">
        <v>3.69</v>
      </c>
      <c r="C2538" s="11">
        <f t="shared" si="156"/>
        <v>3.6900000000000002E-2</v>
      </c>
      <c r="D2538">
        <f t="shared" si="157"/>
        <v>2019</v>
      </c>
      <c r="E2538" t="str">
        <f t="shared" si="158"/>
        <v>Nov-2019</v>
      </c>
      <c r="F2538" s="12">
        <f t="shared" si="159"/>
        <v>6.36</v>
      </c>
    </row>
    <row r="2539" spans="1:6" x14ac:dyDescent="0.25">
      <c r="A2539" s="1">
        <v>43783</v>
      </c>
      <c r="B2539">
        <v>3.75</v>
      </c>
      <c r="C2539" s="11">
        <f t="shared" si="156"/>
        <v>3.7499999999999999E-2</v>
      </c>
      <c r="D2539">
        <f t="shared" si="157"/>
        <v>2019</v>
      </c>
      <c r="E2539" t="str">
        <f t="shared" si="158"/>
        <v>Nov-2019</v>
      </c>
      <c r="F2539" s="12">
        <f t="shared" si="159"/>
        <v>6.36</v>
      </c>
    </row>
    <row r="2540" spans="1:6" x14ac:dyDescent="0.25">
      <c r="A2540" s="1">
        <v>43790</v>
      </c>
      <c r="B2540">
        <v>3.66</v>
      </c>
      <c r="C2540" s="11">
        <f t="shared" si="156"/>
        <v>3.6600000000000001E-2</v>
      </c>
      <c r="D2540">
        <f t="shared" si="157"/>
        <v>2019</v>
      </c>
      <c r="E2540" t="str">
        <f t="shared" si="158"/>
        <v>Nov-2019</v>
      </c>
      <c r="F2540" s="12">
        <f t="shared" si="159"/>
        <v>6.36</v>
      </c>
    </row>
    <row r="2541" spans="1:6" x14ac:dyDescent="0.25">
      <c r="A2541" s="1">
        <v>43796</v>
      </c>
      <c r="B2541">
        <v>3.68</v>
      </c>
      <c r="C2541" s="11">
        <f t="shared" si="156"/>
        <v>3.6799999999999999E-2</v>
      </c>
      <c r="D2541">
        <f t="shared" si="157"/>
        <v>2019</v>
      </c>
      <c r="E2541" t="str">
        <f t="shared" si="158"/>
        <v>Nov-2019</v>
      </c>
      <c r="F2541" s="12">
        <f t="shared" si="159"/>
        <v>6.36</v>
      </c>
    </row>
    <row r="2542" spans="1:6" x14ac:dyDescent="0.25">
      <c r="A2542" s="1">
        <v>43804</v>
      </c>
      <c r="B2542">
        <v>3.68</v>
      </c>
      <c r="C2542" s="11">
        <f t="shared" si="156"/>
        <v>3.6799999999999999E-2</v>
      </c>
      <c r="D2542">
        <f t="shared" si="157"/>
        <v>2019</v>
      </c>
      <c r="E2542" t="str">
        <f t="shared" si="158"/>
        <v>Dec-2019</v>
      </c>
      <c r="F2542" s="12">
        <f t="shared" si="159"/>
        <v>6.36</v>
      </c>
    </row>
    <row r="2543" spans="1:6" x14ac:dyDescent="0.25">
      <c r="A2543" s="1">
        <v>43811</v>
      </c>
      <c r="B2543">
        <v>3.73</v>
      </c>
      <c r="C2543" s="11">
        <f t="shared" si="156"/>
        <v>3.73E-2</v>
      </c>
      <c r="D2543">
        <f t="shared" si="157"/>
        <v>2019</v>
      </c>
      <c r="E2543" t="str">
        <f t="shared" si="158"/>
        <v>Dec-2019</v>
      </c>
      <c r="F2543" s="12">
        <f t="shared" si="159"/>
        <v>6.36</v>
      </c>
    </row>
    <row r="2544" spans="1:6" x14ac:dyDescent="0.25">
      <c r="A2544" s="1">
        <v>43818</v>
      </c>
      <c r="B2544">
        <v>3.73</v>
      </c>
      <c r="C2544" s="11">
        <f t="shared" si="156"/>
        <v>3.73E-2</v>
      </c>
      <c r="D2544">
        <f t="shared" si="157"/>
        <v>2019</v>
      </c>
      <c r="E2544" t="str">
        <f t="shared" si="158"/>
        <v>Dec-2019</v>
      </c>
      <c r="F2544" s="12">
        <f t="shared" si="159"/>
        <v>6.36</v>
      </c>
    </row>
    <row r="2545" spans="1:6" x14ac:dyDescent="0.25">
      <c r="A2545" s="1">
        <v>43825</v>
      </c>
      <c r="B2545">
        <v>3.74</v>
      </c>
      <c r="C2545" s="11">
        <f t="shared" si="156"/>
        <v>3.7400000000000003E-2</v>
      </c>
      <c r="D2545">
        <f t="shared" si="157"/>
        <v>2019</v>
      </c>
      <c r="E2545" t="str">
        <f t="shared" si="158"/>
        <v>Dec-2019</v>
      </c>
      <c r="F2545" s="12">
        <f t="shared" si="159"/>
        <v>6.36</v>
      </c>
    </row>
    <row r="2546" spans="1:6" x14ac:dyDescent="0.25">
      <c r="A2546" s="1">
        <v>43832</v>
      </c>
      <c r="B2546">
        <v>3.72</v>
      </c>
      <c r="C2546" s="11">
        <f t="shared" si="156"/>
        <v>3.7200000000000004E-2</v>
      </c>
      <c r="D2546">
        <f t="shared" si="157"/>
        <v>2020</v>
      </c>
      <c r="E2546" t="str">
        <f t="shared" si="158"/>
        <v>Jan-2020</v>
      </c>
      <c r="F2546" s="12">
        <f t="shared" si="159"/>
        <v>6.36</v>
      </c>
    </row>
    <row r="2547" spans="1:6" x14ac:dyDescent="0.25">
      <c r="A2547" s="1">
        <v>43839</v>
      </c>
      <c r="B2547">
        <v>3.64</v>
      </c>
      <c r="C2547" s="11">
        <f t="shared" si="156"/>
        <v>3.6400000000000002E-2</v>
      </c>
      <c r="D2547">
        <f t="shared" si="157"/>
        <v>2020</v>
      </c>
      <c r="E2547" t="str">
        <f t="shared" si="158"/>
        <v>Jan-2020</v>
      </c>
      <c r="F2547" s="12">
        <f t="shared" si="159"/>
        <v>6.36</v>
      </c>
    </row>
    <row r="2548" spans="1:6" x14ac:dyDescent="0.25">
      <c r="A2548" s="1">
        <v>43846</v>
      </c>
      <c r="B2548">
        <v>3.65</v>
      </c>
      <c r="C2548" s="11">
        <f t="shared" si="156"/>
        <v>3.6499999999999998E-2</v>
      </c>
      <c r="D2548">
        <f t="shared" si="157"/>
        <v>2020</v>
      </c>
      <c r="E2548" t="str">
        <f t="shared" si="158"/>
        <v>Jan-2020</v>
      </c>
      <c r="F2548" s="12">
        <f t="shared" si="159"/>
        <v>6.36</v>
      </c>
    </row>
    <row r="2549" spans="1:6" x14ac:dyDescent="0.25">
      <c r="A2549" s="1">
        <v>43853</v>
      </c>
      <c r="B2549">
        <v>3.6</v>
      </c>
      <c r="C2549" s="11">
        <f t="shared" si="156"/>
        <v>3.6000000000000004E-2</v>
      </c>
      <c r="D2549">
        <f t="shared" si="157"/>
        <v>2020</v>
      </c>
      <c r="E2549" t="str">
        <f t="shared" si="158"/>
        <v>Jan-2020</v>
      </c>
      <c r="F2549" s="12">
        <f t="shared" si="159"/>
        <v>6.36</v>
      </c>
    </row>
    <row r="2550" spans="1:6" x14ac:dyDescent="0.25">
      <c r="A2550" s="1">
        <v>43860</v>
      </c>
      <c r="B2550">
        <v>3.51</v>
      </c>
      <c r="C2550" s="11">
        <f t="shared" si="156"/>
        <v>3.5099999999999999E-2</v>
      </c>
      <c r="D2550">
        <f t="shared" si="157"/>
        <v>2020</v>
      </c>
      <c r="E2550" t="str">
        <f t="shared" si="158"/>
        <v>Jan-2020</v>
      </c>
      <c r="F2550" s="12">
        <f t="shared" si="159"/>
        <v>6.36</v>
      </c>
    </row>
    <row r="2551" spans="1:6" x14ac:dyDescent="0.25">
      <c r="A2551" s="1">
        <v>43867</v>
      </c>
      <c r="B2551">
        <v>3.45</v>
      </c>
      <c r="C2551" s="11">
        <f t="shared" si="156"/>
        <v>3.4500000000000003E-2</v>
      </c>
      <c r="D2551">
        <f t="shared" si="157"/>
        <v>2020</v>
      </c>
      <c r="E2551" t="str">
        <f t="shared" si="158"/>
        <v>Feb-2020</v>
      </c>
      <c r="F2551" s="12">
        <f t="shared" si="159"/>
        <v>6.36</v>
      </c>
    </row>
    <row r="2552" spans="1:6" x14ac:dyDescent="0.25">
      <c r="A2552" s="1">
        <v>43874</v>
      </c>
      <c r="B2552">
        <v>3.47</v>
      </c>
      <c r="C2552" s="11">
        <f t="shared" si="156"/>
        <v>3.4700000000000002E-2</v>
      </c>
      <c r="D2552">
        <f t="shared" si="157"/>
        <v>2020</v>
      </c>
      <c r="E2552" t="str">
        <f t="shared" si="158"/>
        <v>Feb-2020</v>
      </c>
      <c r="F2552" s="12">
        <f t="shared" si="159"/>
        <v>6.36</v>
      </c>
    </row>
    <row r="2553" spans="1:6" x14ac:dyDescent="0.25">
      <c r="A2553" s="1">
        <v>43881</v>
      </c>
      <c r="B2553">
        <v>3.49</v>
      </c>
      <c r="C2553" s="11">
        <f t="shared" si="156"/>
        <v>3.49E-2</v>
      </c>
      <c r="D2553">
        <f t="shared" si="157"/>
        <v>2020</v>
      </c>
      <c r="E2553" t="str">
        <f t="shared" si="158"/>
        <v>Feb-2020</v>
      </c>
      <c r="F2553" s="12">
        <f t="shared" si="159"/>
        <v>6.36</v>
      </c>
    </row>
    <row r="2554" spans="1:6" x14ac:dyDescent="0.25">
      <c r="A2554" s="1">
        <v>43888</v>
      </c>
      <c r="B2554">
        <v>3.45</v>
      </c>
      <c r="C2554" s="11">
        <f t="shared" si="156"/>
        <v>3.4500000000000003E-2</v>
      </c>
      <c r="D2554">
        <f t="shared" si="157"/>
        <v>2020</v>
      </c>
      <c r="E2554" t="str">
        <f t="shared" si="158"/>
        <v>Feb-2020</v>
      </c>
      <c r="F2554" s="12">
        <f t="shared" si="159"/>
        <v>6.36</v>
      </c>
    </row>
    <row r="2555" spans="1:6" x14ac:dyDescent="0.25">
      <c r="A2555" s="1">
        <v>43895</v>
      </c>
      <c r="B2555">
        <v>3.29</v>
      </c>
      <c r="C2555" s="11">
        <f t="shared" si="156"/>
        <v>3.2899999999999999E-2</v>
      </c>
      <c r="D2555">
        <f t="shared" si="157"/>
        <v>2020</v>
      </c>
      <c r="E2555" t="str">
        <f t="shared" si="158"/>
        <v>Mar-2020</v>
      </c>
      <c r="F2555" s="12">
        <f t="shared" si="159"/>
        <v>6.36</v>
      </c>
    </row>
    <row r="2556" spans="1:6" x14ac:dyDescent="0.25">
      <c r="A2556" s="1">
        <v>43902</v>
      </c>
      <c r="B2556">
        <v>3.36</v>
      </c>
      <c r="C2556" s="11">
        <f t="shared" si="156"/>
        <v>3.3599999999999998E-2</v>
      </c>
      <c r="D2556">
        <f t="shared" si="157"/>
        <v>2020</v>
      </c>
      <c r="E2556" t="str">
        <f t="shared" si="158"/>
        <v>Mar-2020</v>
      </c>
      <c r="F2556" s="12">
        <f t="shared" si="159"/>
        <v>6.36</v>
      </c>
    </row>
    <row r="2557" spans="1:6" x14ac:dyDescent="0.25">
      <c r="A2557" s="1">
        <v>43909</v>
      </c>
      <c r="B2557">
        <v>3.65</v>
      </c>
      <c r="C2557" s="11">
        <f t="shared" si="156"/>
        <v>3.6499999999999998E-2</v>
      </c>
      <c r="D2557">
        <f t="shared" si="157"/>
        <v>2020</v>
      </c>
      <c r="E2557" t="str">
        <f t="shared" si="158"/>
        <v>Mar-2020</v>
      </c>
      <c r="F2557" s="12">
        <f t="shared" si="159"/>
        <v>6.36</v>
      </c>
    </row>
    <row r="2558" spans="1:6" x14ac:dyDescent="0.25">
      <c r="A2558" s="1">
        <v>43916</v>
      </c>
      <c r="B2558">
        <v>3.5</v>
      </c>
      <c r="C2558" s="11">
        <f t="shared" si="156"/>
        <v>3.5000000000000003E-2</v>
      </c>
      <c r="D2558">
        <f t="shared" si="157"/>
        <v>2020</v>
      </c>
      <c r="E2558" t="str">
        <f t="shared" si="158"/>
        <v>Mar-2020</v>
      </c>
      <c r="F2558" s="12">
        <f t="shared" si="159"/>
        <v>6.36</v>
      </c>
    </row>
    <row r="2559" spans="1:6" x14ac:dyDescent="0.25">
      <c r="A2559" s="1">
        <v>43923</v>
      </c>
      <c r="B2559">
        <v>3.33</v>
      </c>
      <c r="C2559" s="11">
        <f t="shared" si="156"/>
        <v>3.3300000000000003E-2</v>
      </c>
      <c r="D2559">
        <f t="shared" si="157"/>
        <v>2020</v>
      </c>
      <c r="E2559" t="str">
        <f t="shared" si="158"/>
        <v>Apr-2020</v>
      </c>
      <c r="F2559" s="12">
        <f t="shared" si="159"/>
        <v>6.36</v>
      </c>
    </row>
    <row r="2560" spans="1:6" x14ac:dyDescent="0.25">
      <c r="A2560" s="1">
        <v>43930</v>
      </c>
      <c r="B2560">
        <v>3.33</v>
      </c>
      <c r="C2560" s="11">
        <f t="shared" si="156"/>
        <v>3.3300000000000003E-2</v>
      </c>
      <c r="D2560">
        <f t="shared" si="157"/>
        <v>2020</v>
      </c>
      <c r="E2560" t="str">
        <f t="shared" si="158"/>
        <v>Apr-2020</v>
      </c>
      <c r="F2560" s="12">
        <f t="shared" si="159"/>
        <v>6.36</v>
      </c>
    </row>
    <row r="2561" spans="1:6" x14ac:dyDescent="0.25">
      <c r="A2561" s="1">
        <v>43937</v>
      </c>
      <c r="B2561">
        <v>3.31</v>
      </c>
      <c r="C2561" s="11">
        <f t="shared" si="156"/>
        <v>3.3099999999999997E-2</v>
      </c>
      <c r="D2561">
        <f t="shared" si="157"/>
        <v>2020</v>
      </c>
      <c r="E2561" t="str">
        <f t="shared" si="158"/>
        <v>Apr-2020</v>
      </c>
      <c r="F2561" s="12">
        <f t="shared" si="159"/>
        <v>6.36</v>
      </c>
    </row>
    <row r="2562" spans="1:6" x14ac:dyDescent="0.25">
      <c r="A2562" s="1">
        <v>43944</v>
      </c>
      <c r="B2562">
        <v>3.33</v>
      </c>
      <c r="C2562" s="11">
        <f t="shared" ref="C2562:C2625" si="160">B2562/100</f>
        <v>3.3300000000000003E-2</v>
      </c>
      <c r="D2562">
        <f t="shared" ref="D2562:D2625" si="161">YEAR(A2562)</f>
        <v>2020</v>
      </c>
      <c r="E2562" t="str">
        <f t="shared" ref="E2562:E2625" si="162">TEXT(A2562,"MMM-YYYY")</f>
        <v>Apr-2020</v>
      </c>
      <c r="F2562" s="12">
        <f t="shared" ref="F2562:F2625" si="163">$H$2</f>
        <v>6.36</v>
      </c>
    </row>
    <row r="2563" spans="1:6" x14ac:dyDescent="0.25">
      <c r="A2563" s="1">
        <v>43951</v>
      </c>
      <c r="B2563">
        <v>3.23</v>
      </c>
      <c r="C2563" s="11">
        <f t="shared" si="160"/>
        <v>3.2300000000000002E-2</v>
      </c>
      <c r="D2563">
        <f t="shared" si="161"/>
        <v>2020</v>
      </c>
      <c r="E2563" t="str">
        <f t="shared" si="162"/>
        <v>Apr-2020</v>
      </c>
      <c r="F2563" s="12">
        <f t="shared" si="163"/>
        <v>6.36</v>
      </c>
    </row>
    <row r="2564" spans="1:6" x14ac:dyDescent="0.25">
      <c r="A2564" s="1">
        <v>43958</v>
      </c>
      <c r="B2564">
        <v>3.26</v>
      </c>
      <c r="C2564" s="11">
        <f t="shared" si="160"/>
        <v>3.2599999999999997E-2</v>
      </c>
      <c r="D2564">
        <f t="shared" si="161"/>
        <v>2020</v>
      </c>
      <c r="E2564" t="str">
        <f t="shared" si="162"/>
        <v>May-2020</v>
      </c>
      <c r="F2564" s="12">
        <f t="shared" si="163"/>
        <v>6.36</v>
      </c>
    </row>
    <row r="2565" spans="1:6" x14ac:dyDescent="0.25">
      <c r="A2565" s="1">
        <v>43965</v>
      </c>
      <c r="B2565">
        <v>3.28</v>
      </c>
      <c r="C2565" s="11">
        <f t="shared" si="160"/>
        <v>3.2799999999999996E-2</v>
      </c>
      <c r="D2565">
        <f t="shared" si="161"/>
        <v>2020</v>
      </c>
      <c r="E2565" t="str">
        <f t="shared" si="162"/>
        <v>May-2020</v>
      </c>
      <c r="F2565" s="12">
        <f t="shared" si="163"/>
        <v>6.36</v>
      </c>
    </row>
    <row r="2566" spans="1:6" x14ac:dyDescent="0.25">
      <c r="A2566" s="1">
        <v>43972</v>
      </c>
      <c r="B2566">
        <v>3.24</v>
      </c>
      <c r="C2566" s="11">
        <f t="shared" si="160"/>
        <v>3.2400000000000005E-2</v>
      </c>
      <c r="D2566">
        <f t="shared" si="161"/>
        <v>2020</v>
      </c>
      <c r="E2566" t="str">
        <f t="shared" si="162"/>
        <v>May-2020</v>
      </c>
      <c r="F2566" s="12">
        <f t="shared" si="163"/>
        <v>6.36</v>
      </c>
    </row>
    <row r="2567" spans="1:6" x14ac:dyDescent="0.25">
      <c r="A2567" s="1">
        <v>43979</v>
      </c>
      <c r="B2567">
        <v>3.15</v>
      </c>
      <c r="C2567" s="11">
        <f t="shared" si="160"/>
        <v>3.15E-2</v>
      </c>
      <c r="D2567">
        <f t="shared" si="161"/>
        <v>2020</v>
      </c>
      <c r="E2567" t="str">
        <f t="shared" si="162"/>
        <v>May-2020</v>
      </c>
      <c r="F2567" s="12">
        <f t="shared" si="163"/>
        <v>6.36</v>
      </c>
    </row>
    <row r="2568" spans="1:6" x14ac:dyDescent="0.25">
      <c r="A2568" s="1">
        <v>43986</v>
      </c>
      <c r="B2568">
        <v>3.18</v>
      </c>
      <c r="C2568" s="11">
        <f t="shared" si="160"/>
        <v>3.1800000000000002E-2</v>
      </c>
      <c r="D2568">
        <f t="shared" si="161"/>
        <v>2020</v>
      </c>
      <c r="E2568" t="str">
        <f t="shared" si="162"/>
        <v>Jun-2020</v>
      </c>
      <c r="F2568" s="12">
        <f t="shared" si="163"/>
        <v>6.36</v>
      </c>
    </row>
    <row r="2569" spans="1:6" x14ac:dyDescent="0.25">
      <c r="A2569" s="1">
        <v>43993</v>
      </c>
      <c r="B2569">
        <v>3.21</v>
      </c>
      <c r="C2569" s="11">
        <f t="shared" si="160"/>
        <v>3.2099999999999997E-2</v>
      </c>
      <c r="D2569">
        <f t="shared" si="161"/>
        <v>2020</v>
      </c>
      <c r="E2569" t="str">
        <f t="shared" si="162"/>
        <v>Jun-2020</v>
      </c>
      <c r="F2569" s="12">
        <f t="shared" si="163"/>
        <v>6.36</v>
      </c>
    </row>
    <row r="2570" spans="1:6" x14ac:dyDescent="0.25">
      <c r="A2570" s="1">
        <v>44000</v>
      </c>
      <c r="B2570">
        <v>3.13</v>
      </c>
      <c r="C2570" s="11">
        <f t="shared" si="160"/>
        <v>3.1300000000000001E-2</v>
      </c>
      <c r="D2570">
        <f t="shared" si="161"/>
        <v>2020</v>
      </c>
      <c r="E2570" t="str">
        <f t="shared" si="162"/>
        <v>Jun-2020</v>
      </c>
      <c r="F2570" s="12">
        <f t="shared" si="163"/>
        <v>6.36</v>
      </c>
    </row>
    <row r="2571" spans="1:6" x14ac:dyDescent="0.25">
      <c r="A2571" s="1">
        <v>44007</v>
      </c>
      <c r="B2571">
        <v>3.13</v>
      </c>
      <c r="C2571" s="11">
        <f t="shared" si="160"/>
        <v>3.1300000000000001E-2</v>
      </c>
      <c r="D2571">
        <f t="shared" si="161"/>
        <v>2020</v>
      </c>
      <c r="E2571" t="str">
        <f t="shared" si="162"/>
        <v>Jun-2020</v>
      </c>
      <c r="F2571" s="12">
        <f t="shared" si="163"/>
        <v>6.36</v>
      </c>
    </row>
    <row r="2572" spans="1:6" x14ac:dyDescent="0.25">
      <c r="A2572" s="1">
        <v>44014</v>
      </c>
      <c r="B2572">
        <v>3.07</v>
      </c>
      <c r="C2572" s="11">
        <f t="shared" si="160"/>
        <v>3.0699999999999998E-2</v>
      </c>
      <c r="D2572">
        <f t="shared" si="161"/>
        <v>2020</v>
      </c>
      <c r="E2572" t="str">
        <f t="shared" si="162"/>
        <v>Jul-2020</v>
      </c>
      <c r="F2572" s="12">
        <f t="shared" si="163"/>
        <v>6.36</v>
      </c>
    </row>
    <row r="2573" spans="1:6" x14ac:dyDescent="0.25">
      <c r="A2573" s="1">
        <v>44021</v>
      </c>
      <c r="B2573">
        <v>3.03</v>
      </c>
      <c r="C2573" s="11">
        <f t="shared" si="160"/>
        <v>3.0299999999999997E-2</v>
      </c>
      <c r="D2573">
        <f t="shared" si="161"/>
        <v>2020</v>
      </c>
      <c r="E2573" t="str">
        <f t="shared" si="162"/>
        <v>Jul-2020</v>
      </c>
      <c r="F2573" s="12">
        <f t="shared" si="163"/>
        <v>6.36</v>
      </c>
    </row>
    <row r="2574" spans="1:6" x14ac:dyDescent="0.25">
      <c r="A2574" s="1">
        <v>44028</v>
      </c>
      <c r="B2574">
        <v>2.98</v>
      </c>
      <c r="C2574" s="11">
        <f t="shared" si="160"/>
        <v>2.98E-2</v>
      </c>
      <c r="D2574">
        <f t="shared" si="161"/>
        <v>2020</v>
      </c>
      <c r="E2574" t="str">
        <f t="shared" si="162"/>
        <v>Jul-2020</v>
      </c>
      <c r="F2574" s="12">
        <f t="shared" si="163"/>
        <v>6.36</v>
      </c>
    </row>
    <row r="2575" spans="1:6" x14ac:dyDescent="0.25">
      <c r="A2575" s="1">
        <v>44035</v>
      </c>
      <c r="B2575">
        <v>3.01</v>
      </c>
      <c r="C2575" s="11">
        <f t="shared" si="160"/>
        <v>3.0099999999999998E-2</v>
      </c>
      <c r="D2575">
        <f t="shared" si="161"/>
        <v>2020</v>
      </c>
      <c r="E2575" t="str">
        <f t="shared" si="162"/>
        <v>Jul-2020</v>
      </c>
      <c r="F2575" s="12">
        <f t="shared" si="163"/>
        <v>6.36</v>
      </c>
    </row>
    <row r="2576" spans="1:6" x14ac:dyDescent="0.25">
      <c r="A2576" s="1">
        <v>44042</v>
      </c>
      <c r="B2576">
        <v>2.99</v>
      </c>
      <c r="C2576" s="11">
        <f t="shared" si="160"/>
        <v>2.9900000000000003E-2</v>
      </c>
      <c r="D2576">
        <f t="shared" si="161"/>
        <v>2020</v>
      </c>
      <c r="E2576" t="str">
        <f t="shared" si="162"/>
        <v>Jul-2020</v>
      </c>
      <c r="F2576" s="12">
        <f t="shared" si="163"/>
        <v>6.36</v>
      </c>
    </row>
    <row r="2577" spans="1:6" x14ac:dyDescent="0.25">
      <c r="A2577" s="1">
        <v>44049</v>
      </c>
      <c r="B2577">
        <v>2.88</v>
      </c>
      <c r="C2577" s="11">
        <f t="shared" si="160"/>
        <v>2.8799999999999999E-2</v>
      </c>
      <c r="D2577">
        <f t="shared" si="161"/>
        <v>2020</v>
      </c>
      <c r="E2577" t="str">
        <f t="shared" si="162"/>
        <v>Aug-2020</v>
      </c>
      <c r="F2577" s="12">
        <f t="shared" si="163"/>
        <v>6.36</v>
      </c>
    </row>
    <row r="2578" spans="1:6" x14ac:dyDescent="0.25">
      <c r="A2578" s="1">
        <v>44056</v>
      </c>
      <c r="B2578">
        <v>2.96</v>
      </c>
      <c r="C2578" s="11">
        <f t="shared" si="160"/>
        <v>2.9600000000000001E-2</v>
      </c>
      <c r="D2578">
        <f t="shared" si="161"/>
        <v>2020</v>
      </c>
      <c r="E2578" t="str">
        <f t="shared" si="162"/>
        <v>Aug-2020</v>
      </c>
      <c r="F2578" s="12">
        <f t="shared" si="163"/>
        <v>6.36</v>
      </c>
    </row>
    <row r="2579" spans="1:6" x14ac:dyDescent="0.25">
      <c r="A2579" s="1">
        <v>44063</v>
      </c>
      <c r="B2579">
        <v>2.99</v>
      </c>
      <c r="C2579" s="11">
        <f t="shared" si="160"/>
        <v>2.9900000000000003E-2</v>
      </c>
      <c r="D2579">
        <f t="shared" si="161"/>
        <v>2020</v>
      </c>
      <c r="E2579" t="str">
        <f t="shared" si="162"/>
        <v>Aug-2020</v>
      </c>
      <c r="F2579" s="12">
        <f t="shared" si="163"/>
        <v>6.36</v>
      </c>
    </row>
    <row r="2580" spans="1:6" x14ac:dyDescent="0.25">
      <c r="A2580" s="1">
        <v>44070</v>
      </c>
      <c r="B2580">
        <v>2.91</v>
      </c>
      <c r="C2580" s="11">
        <f t="shared" si="160"/>
        <v>2.9100000000000001E-2</v>
      </c>
      <c r="D2580">
        <f t="shared" si="161"/>
        <v>2020</v>
      </c>
      <c r="E2580" t="str">
        <f t="shared" si="162"/>
        <v>Aug-2020</v>
      </c>
      <c r="F2580" s="12">
        <f t="shared" si="163"/>
        <v>6.36</v>
      </c>
    </row>
    <row r="2581" spans="1:6" x14ac:dyDescent="0.25">
      <c r="A2581" s="1">
        <v>44077</v>
      </c>
      <c r="B2581">
        <v>2.93</v>
      </c>
      <c r="C2581" s="11">
        <f t="shared" si="160"/>
        <v>2.9300000000000003E-2</v>
      </c>
      <c r="D2581">
        <f t="shared" si="161"/>
        <v>2020</v>
      </c>
      <c r="E2581" t="str">
        <f t="shared" si="162"/>
        <v>Sep-2020</v>
      </c>
      <c r="F2581" s="12">
        <f t="shared" si="163"/>
        <v>6.36</v>
      </c>
    </row>
    <row r="2582" spans="1:6" x14ac:dyDescent="0.25">
      <c r="A2582" s="1">
        <v>44084</v>
      </c>
      <c r="B2582">
        <v>2.86</v>
      </c>
      <c r="C2582" s="11">
        <f t="shared" si="160"/>
        <v>2.86E-2</v>
      </c>
      <c r="D2582">
        <f t="shared" si="161"/>
        <v>2020</v>
      </c>
      <c r="E2582" t="str">
        <f t="shared" si="162"/>
        <v>Sep-2020</v>
      </c>
      <c r="F2582" s="12">
        <f t="shared" si="163"/>
        <v>6.36</v>
      </c>
    </row>
    <row r="2583" spans="1:6" x14ac:dyDescent="0.25">
      <c r="A2583" s="1">
        <v>44091</v>
      </c>
      <c r="B2583">
        <v>2.87</v>
      </c>
      <c r="C2583" s="11">
        <f t="shared" si="160"/>
        <v>2.87E-2</v>
      </c>
      <c r="D2583">
        <f t="shared" si="161"/>
        <v>2020</v>
      </c>
      <c r="E2583" t="str">
        <f t="shared" si="162"/>
        <v>Sep-2020</v>
      </c>
      <c r="F2583" s="12">
        <f t="shared" si="163"/>
        <v>6.36</v>
      </c>
    </row>
    <row r="2584" spans="1:6" x14ac:dyDescent="0.25">
      <c r="A2584" s="1">
        <v>44098</v>
      </c>
      <c r="B2584">
        <v>2.9</v>
      </c>
      <c r="C2584" s="11">
        <f t="shared" si="160"/>
        <v>2.8999999999999998E-2</v>
      </c>
      <c r="D2584">
        <f t="shared" si="161"/>
        <v>2020</v>
      </c>
      <c r="E2584" t="str">
        <f t="shared" si="162"/>
        <v>Sep-2020</v>
      </c>
      <c r="F2584" s="12">
        <f t="shared" si="163"/>
        <v>6.36</v>
      </c>
    </row>
    <row r="2585" spans="1:6" x14ac:dyDescent="0.25">
      <c r="A2585" s="1">
        <v>44105</v>
      </c>
      <c r="B2585">
        <v>2.88</v>
      </c>
      <c r="C2585" s="11">
        <f t="shared" si="160"/>
        <v>2.8799999999999999E-2</v>
      </c>
      <c r="D2585">
        <f t="shared" si="161"/>
        <v>2020</v>
      </c>
      <c r="E2585" t="str">
        <f t="shared" si="162"/>
        <v>Oct-2020</v>
      </c>
      <c r="F2585" s="12">
        <f t="shared" si="163"/>
        <v>6.36</v>
      </c>
    </row>
    <row r="2586" spans="1:6" x14ac:dyDescent="0.25">
      <c r="A2586" s="1">
        <v>44112</v>
      </c>
      <c r="B2586">
        <v>2.87</v>
      </c>
      <c r="C2586" s="11">
        <f t="shared" si="160"/>
        <v>2.87E-2</v>
      </c>
      <c r="D2586">
        <f t="shared" si="161"/>
        <v>2020</v>
      </c>
      <c r="E2586" t="str">
        <f t="shared" si="162"/>
        <v>Oct-2020</v>
      </c>
      <c r="F2586" s="12">
        <f t="shared" si="163"/>
        <v>6.36</v>
      </c>
    </row>
    <row r="2587" spans="1:6" x14ac:dyDescent="0.25">
      <c r="A2587" s="1">
        <v>44119</v>
      </c>
      <c r="B2587">
        <v>2.81</v>
      </c>
      <c r="C2587" s="11">
        <f t="shared" si="160"/>
        <v>2.81E-2</v>
      </c>
      <c r="D2587">
        <f t="shared" si="161"/>
        <v>2020</v>
      </c>
      <c r="E2587" t="str">
        <f t="shared" si="162"/>
        <v>Oct-2020</v>
      </c>
      <c r="F2587" s="12">
        <f t="shared" si="163"/>
        <v>6.36</v>
      </c>
    </row>
    <row r="2588" spans="1:6" x14ac:dyDescent="0.25">
      <c r="A2588" s="1">
        <v>44126</v>
      </c>
      <c r="B2588">
        <v>2.8</v>
      </c>
      <c r="C2588" s="11">
        <f t="shared" si="160"/>
        <v>2.7999999999999997E-2</v>
      </c>
      <c r="D2588">
        <f t="shared" si="161"/>
        <v>2020</v>
      </c>
      <c r="E2588" t="str">
        <f t="shared" si="162"/>
        <v>Oct-2020</v>
      </c>
      <c r="F2588" s="12">
        <f t="shared" si="163"/>
        <v>6.36</v>
      </c>
    </row>
    <row r="2589" spans="1:6" x14ac:dyDescent="0.25">
      <c r="A2589" s="1">
        <v>44133</v>
      </c>
      <c r="B2589">
        <v>2.81</v>
      </c>
      <c r="C2589" s="11">
        <f t="shared" si="160"/>
        <v>2.81E-2</v>
      </c>
      <c r="D2589">
        <f t="shared" si="161"/>
        <v>2020</v>
      </c>
      <c r="E2589" t="str">
        <f t="shared" si="162"/>
        <v>Oct-2020</v>
      </c>
      <c r="F2589" s="12">
        <f t="shared" si="163"/>
        <v>6.36</v>
      </c>
    </row>
    <row r="2590" spans="1:6" x14ac:dyDescent="0.25">
      <c r="A2590" s="1">
        <v>44140</v>
      </c>
      <c r="B2590">
        <v>2.78</v>
      </c>
      <c r="C2590" s="11">
        <f t="shared" si="160"/>
        <v>2.7799999999999998E-2</v>
      </c>
      <c r="D2590">
        <f t="shared" si="161"/>
        <v>2020</v>
      </c>
      <c r="E2590" t="str">
        <f t="shared" si="162"/>
        <v>Nov-2020</v>
      </c>
      <c r="F2590" s="12">
        <f t="shared" si="163"/>
        <v>6.36</v>
      </c>
    </row>
    <row r="2591" spans="1:6" x14ac:dyDescent="0.25">
      <c r="A2591" s="1">
        <v>44147</v>
      </c>
      <c r="B2591">
        <v>2.84</v>
      </c>
      <c r="C2591" s="11">
        <f t="shared" si="160"/>
        <v>2.8399999999999998E-2</v>
      </c>
      <c r="D2591">
        <f t="shared" si="161"/>
        <v>2020</v>
      </c>
      <c r="E2591" t="str">
        <f t="shared" si="162"/>
        <v>Nov-2020</v>
      </c>
      <c r="F2591" s="12">
        <f t="shared" si="163"/>
        <v>6.36</v>
      </c>
    </row>
    <row r="2592" spans="1:6" x14ac:dyDescent="0.25">
      <c r="A2592" s="1">
        <v>44154</v>
      </c>
      <c r="B2592">
        <v>2.72</v>
      </c>
      <c r="C2592" s="11">
        <f t="shared" si="160"/>
        <v>2.7200000000000002E-2</v>
      </c>
      <c r="D2592">
        <f t="shared" si="161"/>
        <v>2020</v>
      </c>
      <c r="E2592" t="str">
        <f t="shared" si="162"/>
        <v>Nov-2020</v>
      </c>
      <c r="F2592" s="12">
        <f t="shared" si="163"/>
        <v>6.36</v>
      </c>
    </row>
    <row r="2593" spans="1:6" x14ac:dyDescent="0.25">
      <c r="A2593" s="1">
        <v>44160</v>
      </c>
      <c r="B2593">
        <v>2.72</v>
      </c>
      <c r="C2593" s="11">
        <f t="shared" si="160"/>
        <v>2.7200000000000002E-2</v>
      </c>
      <c r="D2593">
        <f t="shared" si="161"/>
        <v>2020</v>
      </c>
      <c r="E2593" t="str">
        <f t="shared" si="162"/>
        <v>Nov-2020</v>
      </c>
      <c r="F2593" s="12">
        <f t="shared" si="163"/>
        <v>6.36</v>
      </c>
    </row>
    <row r="2594" spans="1:6" x14ac:dyDescent="0.25">
      <c r="A2594" s="1">
        <v>44168</v>
      </c>
      <c r="B2594">
        <v>2.71</v>
      </c>
      <c r="C2594" s="11">
        <f t="shared" si="160"/>
        <v>2.7099999999999999E-2</v>
      </c>
      <c r="D2594">
        <f t="shared" si="161"/>
        <v>2020</v>
      </c>
      <c r="E2594" t="str">
        <f t="shared" si="162"/>
        <v>Dec-2020</v>
      </c>
      <c r="F2594" s="12">
        <f t="shared" si="163"/>
        <v>6.36</v>
      </c>
    </row>
    <row r="2595" spans="1:6" x14ac:dyDescent="0.25">
      <c r="A2595" s="1">
        <v>44175</v>
      </c>
      <c r="B2595">
        <v>2.71</v>
      </c>
      <c r="C2595" s="11">
        <f t="shared" si="160"/>
        <v>2.7099999999999999E-2</v>
      </c>
      <c r="D2595">
        <f t="shared" si="161"/>
        <v>2020</v>
      </c>
      <c r="E2595" t="str">
        <f t="shared" si="162"/>
        <v>Dec-2020</v>
      </c>
      <c r="F2595" s="12">
        <f t="shared" si="163"/>
        <v>6.36</v>
      </c>
    </row>
    <row r="2596" spans="1:6" x14ac:dyDescent="0.25">
      <c r="A2596" s="1">
        <v>44182</v>
      </c>
      <c r="B2596">
        <v>2.67</v>
      </c>
      <c r="C2596" s="11">
        <f t="shared" si="160"/>
        <v>2.6699999999999998E-2</v>
      </c>
      <c r="D2596">
        <f t="shared" si="161"/>
        <v>2020</v>
      </c>
      <c r="E2596" t="str">
        <f t="shared" si="162"/>
        <v>Dec-2020</v>
      </c>
      <c r="F2596" s="12">
        <f t="shared" si="163"/>
        <v>6.36</v>
      </c>
    </row>
    <row r="2597" spans="1:6" x14ac:dyDescent="0.25">
      <c r="A2597" s="1">
        <v>44189</v>
      </c>
      <c r="B2597">
        <v>2.66</v>
      </c>
      <c r="C2597" s="11">
        <f t="shared" si="160"/>
        <v>2.6600000000000002E-2</v>
      </c>
      <c r="D2597">
        <f t="shared" si="161"/>
        <v>2020</v>
      </c>
      <c r="E2597" t="str">
        <f t="shared" si="162"/>
        <v>Dec-2020</v>
      </c>
      <c r="F2597" s="12">
        <f t="shared" si="163"/>
        <v>6.36</v>
      </c>
    </row>
    <row r="2598" spans="1:6" x14ac:dyDescent="0.25">
      <c r="A2598" s="1">
        <v>44196</v>
      </c>
      <c r="B2598">
        <v>2.67</v>
      </c>
      <c r="C2598" s="11">
        <f t="shared" si="160"/>
        <v>2.6699999999999998E-2</v>
      </c>
      <c r="D2598">
        <f t="shared" si="161"/>
        <v>2020</v>
      </c>
      <c r="E2598" t="str">
        <f t="shared" si="162"/>
        <v>Dec-2020</v>
      </c>
      <c r="F2598" s="12">
        <f t="shared" si="163"/>
        <v>6.36</v>
      </c>
    </row>
    <row r="2599" spans="1:6" x14ac:dyDescent="0.25">
      <c r="A2599" s="1">
        <v>44203</v>
      </c>
      <c r="B2599">
        <v>2.65</v>
      </c>
      <c r="C2599" s="11">
        <f t="shared" si="160"/>
        <v>2.6499999999999999E-2</v>
      </c>
      <c r="D2599">
        <f t="shared" si="161"/>
        <v>2021</v>
      </c>
      <c r="E2599" t="str">
        <f t="shared" si="162"/>
        <v>Jan-2021</v>
      </c>
      <c r="F2599" s="12">
        <f t="shared" si="163"/>
        <v>6.36</v>
      </c>
    </row>
    <row r="2600" spans="1:6" x14ac:dyDescent="0.25">
      <c r="A2600" s="1">
        <v>44210</v>
      </c>
      <c r="B2600">
        <v>2.79</v>
      </c>
      <c r="C2600" s="11">
        <f t="shared" si="160"/>
        <v>2.7900000000000001E-2</v>
      </c>
      <c r="D2600">
        <f t="shared" si="161"/>
        <v>2021</v>
      </c>
      <c r="E2600" t="str">
        <f t="shared" si="162"/>
        <v>Jan-2021</v>
      </c>
      <c r="F2600" s="12">
        <f t="shared" si="163"/>
        <v>6.36</v>
      </c>
    </row>
    <row r="2601" spans="1:6" x14ac:dyDescent="0.25">
      <c r="A2601" s="1">
        <v>44217</v>
      </c>
      <c r="B2601">
        <v>2.77</v>
      </c>
      <c r="C2601" s="11">
        <f t="shared" si="160"/>
        <v>2.7699999999999999E-2</v>
      </c>
      <c r="D2601">
        <f t="shared" si="161"/>
        <v>2021</v>
      </c>
      <c r="E2601" t="str">
        <f t="shared" si="162"/>
        <v>Jan-2021</v>
      </c>
      <c r="F2601" s="12">
        <f t="shared" si="163"/>
        <v>6.36</v>
      </c>
    </row>
    <row r="2602" spans="1:6" x14ac:dyDescent="0.25">
      <c r="A2602" s="1">
        <v>44224</v>
      </c>
      <c r="B2602">
        <v>2.73</v>
      </c>
      <c r="C2602" s="11">
        <f t="shared" si="160"/>
        <v>2.7300000000000001E-2</v>
      </c>
      <c r="D2602">
        <f t="shared" si="161"/>
        <v>2021</v>
      </c>
      <c r="E2602" t="str">
        <f t="shared" si="162"/>
        <v>Jan-2021</v>
      </c>
      <c r="F2602" s="12">
        <f t="shared" si="163"/>
        <v>6.36</v>
      </c>
    </row>
    <row r="2603" spans="1:6" x14ac:dyDescent="0.25">
      <c r="A2603" s="1">
        <v>44231</v>
      </c>
      <c r="B2603">
        <v>2.73</v>
      </c>
      <c r="C2603" s="11">
        <f t="shared" si="160"/>
        <v>2.7300000000000001E-2</v>
      </c>
      <c r="D2603">
        <f t="shared" si="161"/>
        <v>2021</v>
      </c>
      <c r="E2603" t="str">
        <f t="shared" si="162"/>
        <v>Feb-2021</v>
      </c>
      <c r="F2603" s="12">
        <f t="shared" si="163"/>
        <v>6.36</v>
      </c>
    </row>
    <row r="2604" spans="1:6" x14ac:dyDescent="0.25">
      <c r="A2604" s="1">
        <v>44238</v>
      </c>
      <c r="B2604">
        <v>2.73</v>
      </c>
      <c r="C2604" s="11">
        <f t="shared" si="160"/>
        <v>2.7300000000000001E-2</v>
      </c>
      <c r="D2604">
        <f t="shared" si="161"/>
        <v>2021</v>
      </c>
      <c r="E2604" t="str">
        <f t="shared" si="162"/>
        <v>Feb-2021</v>
      </c>
      <c r="F2604" s="12">
        <f t="shared" si="163"/>
        <v>6.36</v>
      </c>
    </row>
    <row r="2605" spans="1:6" x14ac:dyDescent="0.25">
      <c r="A2605" s="1">
        <v>44245</v>
      </c>
      <c r="B2605">
        <v>2.81</v>
      </c>
      <c r="C2605" s="11">
        <f t="shared" si="160"/>
        <v>2.81E-2</v>
      </c>
      <c r="D2605">
        <f t="shared" si="161"/>
        <v>2021</v>
      </c>
      <c r="E2605" t="str">
        <f t="shared" si="162"/>
        <v>Feb-2021</v>
      </c>
      <c r="F2605" s="12">
        <f t="shared" si="163"/>
        <v>6.36</v>
      </c>
    </row>
    <row r="2606" spans="1:6" x14ac:dyDescent="0.25">
      <c r="A2606" s="1">
        <v>44252</v>
      </c>
      <c r="B2606">
        <v>2.97</v>
      </c>
      <c r="C2606" s="11">
        <f t="shared" si="160"/>
        <v>2.9700000000000001E-2</v>
      </c>
      <c r="D2606">
        <f t="shared" si="161"/>
        <v>2021</v>
      </c>
      <c r="E2606" t="str">
        <f t="shared" si="162"/>
        <v>Feb-2021</v>
      </c>
      <c r="F2606" s="12">
        <f t="shared" si="163"/>
        <v>6.36</v>
      </c>
    </row>
    <row r="2607" spans="1:6" x14ac:dyDescent="0.25">
      <c r="A2607" s="1">
        <v>44259</v>
      </c>
      <c r="B2607">
        <v>3.02</v>
      </c>
      <c r="C2607" s="11">
        <f t="shared" si="160"/>
        <v>3.0200000000000001E-2</v>
      </c>
      <c r="D2607">
        <f t="shared" si="161"/>
        <v>2021</v>
      </c>
      <c r="E2607" t="str">
        <f t="shared" si="162"/>
        <v>Mar-2021</v>
      </c>
      <c r="F2607" s="12">
        <f t="shared" si="163"/>
        <v>6.36</v>
      </c>
    </row>
    <row r="2608" spans="1:6" x14ac:dyDescent="0.25">
      <c r="A2608" s="1">
        <v>44266</v>
      </c>
      <c r="B2608">
        <v>3.05</v>
      </c>
      <c r="C2608" s="11">
        <f t="shared" si="160"/>
        <v>3.0499999999999999E-2</v>
      </c>
      <c r="D2608">
        <f t="shared" si="161"/>
        <v>2021</v>
      </c>
      <c r="E2608" t="str">
        <f t="shared" si="162"/>
        <v>Mar-2021</v>
      </c>
      <c r="F2608" s="12">
        <f t="shared" si="163"/>
        <v>6.36</v>
      </c>
    </row>
    <row r="2609" spans="1:6" x14ac:dyDescent="0.25">
      <c r="A2609" s="1">
        <v>44273</v>
      </c>
      <c r="B2609">
        <v>3.09</v>
      </c>
      <c r="C2609" s="11">
        <f t="shared" si="160"/>
        <v>3.0899999999999997E-2</v>
      </c>
      <c r="D2609">
        <f t="shared" si="161"/>
        <v>2021</v>
      </c>
      <c r="E2609" t="str">
        <f t="shared" si="162"/>
        <v>Mar-2021</v>
      </c>
      <c r="F2609" s="12">
        <f t="shared" si="163"/>
        <v>6.36</v>
      </c>
    </row>
    <row r="2610" spans="1:6" x14ac:dyDescent="0.25">
      <c r="A2610" s="1">
        <v>44280</v>
      </c>
      <c r="B2610">
        <v>3.17</v>
      </c>
      <c r="C2610" s="11">
        <f t="shared" si="160"/>
        <v>3.1699999999999999E-2</v>
      </c>
      <c r="D2610">
        <f t="shared" si="161"/>
        <v>2021</v>
      </c>
      <c r="E2610" t="str">
        <f t="shared" si="162"/>
        <v>Mar-2021</v>
      </c>
      <c r="F2610" s="12">
        <f t="shared" si="163"/>
        <v>6.36</v>
      </c>
    </row>
    <row r="2611" spans="1:6" x14ac:dyDescent="0.25">
      <c r="A2611" s="1">
        <v>44287</v>
      </c>
      <c r="B2611">
        <v>3.18</v>
      </c>
      <c r="C2611" s="11">
        <f t="shared" si="160"/>
        <v>3.1800000000000002E-2</v>
      </c>
      <c r="D2611">
        <f t="shared" si="161"/>
        <v>2021</v>
      </c>
      <c r="E2611" t="str">
        <f t="shared" si="162"/>
        <v>Apr-2021</v>
      </c>
      <c r="F2611" s="12">
        <f t="shared" si="163"/>
        <v>6.36</v>
      </c>
    </row>
    <row r="2612" spans="1:6" x14ac:dyDescent="0.25">
      <c r="A2612" s="1">
        <v>44294</v>
      </c>
      <c r="B2612">
        <v>3.13</v>
      </c>
      <c r="C2612" s="11">
        <f t="shared" si="160"/>
        <v>3.1300000000000001E-2</v>
      </c>
      <c r="D2612">
        <f t="shared" si="161"/>
        <v>2021</v>
      </c>
      <c r="E2612" t="str">
        <f t="shared" si="162"/>
        <v>Apr-2021</v>
      </c>
      <c r="F2612" s="12">
        <f t="shared" si="163"/>
        <v>6.36</v>
      </c>
    </row>
    <row r="2613" spans="1:6" x14ac:dyDescent="0.25">
      <c r="A2613" s="1">
        <v>44301</v>
      </c>
      <c r="B2613">
        <v>3.04</v>
      </c>
      <c r="C2613" s="11">
        <f t="shared" si="160"/>
        <v>3.04E-2</v>
      </c>
      <c r="D2613">
        <f t="shared" si="161"/>
        <v>2021</v>
      </c>
      <c r="E2613" t="str">
        <f t="shared" si="162"/>
        <v>Apr-2021</v>
      </c>
      <c r="F2613" s="12">
        <f t="shared" si="163"/>
        <v>6.36</v>
      </c>
    </row>
    <row r="2614" spans="1:6" x14ac:dyDescent="0.25">
      <c r="A2614" s="1">
        <v>44308</v>
      </c>
      <c r="B2614">
        <v>2.97</v>
      </c>
      <c r="C2614" s="11">
        <f t="shared" si="160"/>
        <v>2.9700000000000001E-2</v>
      </c>
      <c r="D2614">
        <f t="shared" si="161"/>
        <v>2021</v>
      </c>
      <c r="E2614" t="str">
        <f t="shared" si="162"/>
        <v>Apr-2021</v>
      </c>
      <c r="F2614" s="12">
        <f t="shared" si="163"/>
        <v>6.36</v>
      </c>
    </row>
    <row r="2615" spans="1:6" x14ac:dyDescent="0.25">
      <c r="A2615" s="1">
        <v>44315</v>
      </c>
      <c r="B2615">
        <v>2.98</v>
      </c>
      <c r="C2615" s="11">
        <f t="shared" si="160"/>
        <v>2.98E-2</v>
      </c>
      <c r="D2615">
        <f t="shared" si="161"/>
        <v>2021</v>
      </c>
      <c r="E2615" t="str">
        <f t="shared" si="162"/>
        <v>Apr-2021</v>
      </c>
      <c r="F2615" s="12">
        <f t="shared" si="163"/>
        <v>6.36</v>
      </c>
    </row>
    <row r="2616" spans="1:6" x14ac:dyDescent="0.25">
      <c r="A2616" s="1">
        <v>44322</v>
      </c>
      <c r="B2616">
        <v>2.96</v>
      </c>
      <c r="C2616" s="11">
        <f t="shared" si="160"/>
        <v>2.9600000000000001E-2</v>
      </c>
      <c r="D2616">
        <f t="shared" si="161"/>
        <v>2021</v>
      </c>
      <c r="E2616" t="str">
        <f t="shared" si="162"/>
        <v>May-2021</v>
      </c>
      <c r="F2616" s="12">
        <f t="shared" si="163"/>
        <v>6.36</v>
      </c>
    </row>
    <row r="2617" spans="1:6" x14ac:dyDescent="0.25">
      <c r="A2617" s="1">
        <v>44329</v>
      </c>
      <c r="B2617">
        <v>2.94</v>
      </c>
      <c r="C2617" s="11">
        <f t="shared" si="160"/>
        <v>2.9399999999999999E-2</v>
      </c>
      <c r="D2617">
        <f t="shared" si="161"/>
        <v>2021</v>
      </c>
      <c r="E2617" t="str">
        <f t="shared" si="162"/>
        <v>May-2021</v>
      </c>
      <c r="F2617" s="12">
        <f t="shared" si="163"/>
        <v>6.36</v>
      </c>
    </row>
    <row r="2618" spans="1:6" x14ac:dyDescent="0.25">
      <c r="A2618" s="1">
        <v>44336</v>
      </c>
      <c r="B2618">
        <v>3</v>
      </c>
      <c r="C2618" s="11">
        <f t="shared" si="160"/>
        <v>0.03</v>
      </c>
      <c r="D2618">
        <f t="shared" si="161"/>
        <v>2021</v>
      </c>
      <c r="E2618" t="str">
        <f t="shared" si="162"/>
        <v>May-2021</v>
      </c>
      <c r="F2618" s="12">
        <f t="shared" si="163"/>
        <v>6.36</v>
      </c>
    </row>
    <row r="2619" spans="1:6" x14ac:dyDescent="0.25">
      <c r="A2619" s="1">
        <v>44343</v>
      </c>
      <c r="B2619">
        <v>2.95</v>
      </c>
      <c r="C2619" s="11">
        <f t="shared" si="160"/>
        <v>2.9500000000000002E-2</v>
      </c>
      <c r="D2619">
        <f t="shared" si="161"/>
        <v>2021</v>
      </c>
      <c r="E2619" t="str">
        <f t="shared" si="162"/>
        <v>May-2021</v>
      </c>
      <c r="F2619" s="12">
        <f t="shared" si="163"/>
        <v>6.36</v>
      </c>
    </row>
    <row r="2620" spans="1:6" x14ac:dyDescent="0.25">
      <c r="A2620" s="1">
        <v>44350</v>
      </c>
      <c r="B2620">
        <v>2.99</v>
      </c>
      <c r="C2620" s="11">
        <f t="shared" si="160"/>
        <v>2.9900000000000003E-2</v>
      </c>
      <c r="D2620">
        <f t="shared" si="161"/>
        <v>2021</v>
      </c>
      <c r="E2620" t="str">
        <f t="shared" si="162"/>
        <v>Jun-2021</v>
      </c>
      <c r="F2620" s="12">
        <f t="shared" si="163"/>
        <v>6.36</v>
      </c>
    </row>
    <row r="2621" spans="1:6" x14ac:dyDescent="0.25">
      <c r="A2621" s="1">
        <v>44357</v>
      </c>
      <c r="B2621">
        <v>2.96</v>
      </c>
      <c r="C2621" s="11">
        <f t="shared" si="160"/>
        <v>2.9600000000000001E-2</v>
      </c>
      <c r="D2621">
        <f t="shared" si="161"/>
        <v>2021</v>
      </c>
      <c r="E2621" t="str">
        <f t="shared" si="162"/>
        <v>Jun-2021</v>
      </c>
      <c r="F2621" s="12">
        <f t="shared" si="163"/>
        <v>6.36</v>
      </c>
    </row>
    <row r="2622" spans="1:6" x14ac:dyDescent="0.25">
      <c r="A2622" s="1">
        <v>44364</v>
      </c>
      <c r="B2622">
        <v>2.93</v>
      </c>
      <c r="C2622" s="11">
        <f t="shared" si="160"/>
        <v>2.9300000000000003E-2</v>
      </c>
      <c r="D2622">
        <f t="shared" si="161"/>
        <v>2021</v>
      </c>
      <c r="E2622" t="str">
        <f t="shared" si="162"/>
        <v>Jun-2021</v>
      </c>
      <c r="F2622" s="12">
        <f t="shared" si="163"/>
        <v>6.36</v>
      </c>
    </row>
    <row r="2623" spans="1:6" x14ac:dyDescent="0.25">
      <c r="A2623" s="1">
        <v>44371</v>
      </c>
      <c r="B2623">
        <v>3.02</v>
      </c>
      <c r="C2623" s="11">
        <f t="shared" si="160"/>
        <v>3.0200000000000001E-2</v>
      </c>
      <c r="D2623">
        <f t="shared" si="161"/>
        <v>2021</v>
      </c>
      <c r="E2623" t="str">
        <f t="shared" si="162"/>
        <v>Jun-2021</v>
      </c>
      <c r="F2623" s="12">
        <f t="shared" si="163"/>
        <v>6.36</v>
      </c>
    </row>
    <row r="2624" spans="1:6" x14ac:dyDescent="0.25">
      <c r="A2624" s="1">
        <v>44378</v>
      </c>
      <c r="B2624">
        <v>2.98</v>
      </c>
      <c r="C2624" s="11">
        <f t="shared" si="160"/>
        <v>2.98E-2</v>
      </c>
      <c r="D2624">
        <f t="shared" si="161"/>
        <v>2021</v>
      </c>
      <c r="E2624" t="str">
        <f t="shared" si="162"/>
        <v>Jul-2021</v>
      </c>
      <c r="F2624" s="12">
        <f t="shared" si="163"/>
        <v>6.36</v>
      </c>
    </row>
    <row r="2625" spans="1:6" x14ac:dyDescent="0.25">
      <c r="A2625" s="1">
        <v>44385</v>
      </c>
      <c r="B2625">
        <v>2.9</v>
      </c>
      <c r="C2625" s="11">
        <f t="shared" si="160"/>
        <v>2.8999999999999998E-2</v>
      </c>
      <c r="D2625">
        <f t="shared" si="161"/>
        <v>2021</v>
      </c>
      <c r="E2625" t="str">
        <f t="shared" si="162"/>
        <v>Jul-2021</v>
      </c>
      <c r="F2625" s="12">
        <f t="shared" si="163"/>
        <v>6.36</v>
      </c>
    </row>
    <row r="2626" spans="1:6" x14ac:dyDescent="0.25">
      <c r="A2626" s="1">
        <v>44392</v>
      </c>
      <c r="B2626">
        <v>2.88</v>
      </c>
      <c r="C2626" s="11">
        <f t="shared" ref="C2626:C2689" si="164">B2626/100</f>
        <v>2.8799999999999999E-2</v>
      </c>
      <c r="D2626">
        <f t="shared" ref="D2626:D2689" si="165">YEAR(A2626)</f>
        <v>2021</v>
      </c>
      <c r="E2626" t="str">
        <f t="shared" ref="E2626:E2689" si="166">TEXT(A2626,"MMM-YYYY")</f>
        <v>Jul-2021</v>
      </c>
      <c r="F2626" s="12">
        <f t="shared" ref="F2626:F2689" si="167">$H$2</f>
        <v>6.36</v>
      </c>
    </row>
    <row r="2627" spans="1:6" x14ac:dyDescent="0.25">
      <c r="A2627" s="1">
        <v>44399</v>
      </c>
      <c r="B2627">
        <v>2.78</v>
      </c>
      <c r="C2627" s="11">
        <f t="shared" si="164"/>
        <v>2.7799999999999998E-2</v>
      </c>
      <c r="D2627">
        <f t="shared" si="165"/>
        <v>2021</v>
      </c>
      <c r="E2627" t="str">
        <f t="shared" si="166"/>
        <v>Jul-2021</v>
      </c>
      <c r="F2627" s="12">
        <f t="shared" si="167"/>
        <v>6.36</v>
      </c>
    </row>
    <row r="2628" spans="1:6" x14ac:dyDescent="0.25">
      <c r="A2628" s="1">
        <v>44406</v>
      </c>
      <c r="B2628">
        <v>2.8</v>
      </c>
      <c r="C2628" s="11">
        <f t="shared" si="164"/>
        <v>2.7999999999999997E-2</v>
      </c>
      <c r="D2628">
        <f t="shared" si="165"/>
        <v>2021</v>
      </c>
      <c r="E2628" t="str">
        <f t="shared" si="166"/>
        <v>Jul-2021</v>
      </c>
      <c r="F2628" s="12">
        <f t="shared" si="167"/>
        <v>6.36</v>
      </c>
    </row>
    <row r="2629" spans="1:6" x14ac:dyDescent="0.25">
      <c r="A2629" s="1">
        <v>44413</v>
      </c>
      <c r="B2629">
        <v>2.77</v>
      </c>
      <c r="C2629" s="11">
        <f t="shared" si="164"/>
        <v>2.7699999999999999E-2</v>
      </c>
      <c r="D2629">
        <f t="shared" si="165"/>
        <v>2021</v>
      </c>
      <c r="E2629" t="str">
        <f t="shared" si="166"/>
        <v>Aug-2021</v>
      </c>
      <c r="F2629" s="12">
        <f t="shared" si="167"/>
        <v>6.36</v>
      </c>
    </row>
    <row r="2630" spans="1:6" x14ac:dyDescent="0.25">
      <c r="A2630" s="1">
        <v>44420</v>
      </c>
      <c r="B2630">
        <v>2.87</v>
      </c>
      <c r="C2630" s="11">
        <f t="shared" si="164"/>
        <v>2.87E-2</v>
      </c>
      <c r="D2630">
        <f t="shared" si="165"/>
        <v>2021</v>
      </c>
      <c r="E2630" t="str">
        <f t="shared" si="166"/>
        <v>Aug-2021</v>
      </c>
      <c r="F2630" s="12">
        <f t="shared" si="167"/>
        <v>6.36</v>
      </c>
    </row>
    <row r="2631" spans="1:6" x14ac:dyDescent="0.25">
      <c r="A2631" s="1">
        <v>44427</v>
      </c>
      <c r="B2631">
        <v>2.86</v>
      </c>
      <c r="C2631" s="11">
        <f t="shared" si="164"/>
        <v>2.86E-2</v>
      </c>
      <c r="D2631">
        <f t="shared" si="165"/>
        <v>2021</v>
      </c>
      <c r="E2631" t="str">
        <f t="shared" si="166"/>
        <v>Aug-2021</v>
      </c>
      <c r="F2631" s="12">
        <f t="shared" si="167"/>
        <v>6.36</v>
      </c>
    </row>
    <row r="2632" spans="1:6" x14ac:dyDescent="0.25">
      <c r="A2632" s="1">
        <v>44434</v>
      </c>
      <c r="B2632">
        <v>2.87</v>
      </c>
      <c r="C2632" s="11">
        <f t="shared" si="164"/>
        <v>2.87E-2</v>
      </c>
      <c r="D2632">
        <f t="shared" si="165"/>
        <v>2021</v>
      </c>
      <c r="E2632" t="str">
        <f t="shared" si="166"/>
        <v>Aug-2021</v>
      </c>
      <c r="F2632" s="12">
        <f t="shared" si="167"/>
        <v>6.36</v>
      </c>
    </row>
    <row r="2633" spans="1:6" x14ac:dyDescent="0.25">
      <c r="A2633" s="1">
        <v>44441</v>
      </c>
      <c r="B2633">
        <v>2.87</v>
      </c>
      <c r="C2633" s="11">
        <f t="shared" si="164"/>
        <v>2.87E-2</v>
      </c>
      <c r="D2633">
        <f t="shared" si="165"/>
        <v>2021</v>
      </c>
      <c r="E2633" t="str">
        <f t="shared" si="166"/>
        <v>Sep-2021</v>
      </c>
      <c r="F2633" s="12">
        <f t="shared" si="167"/>
        <v>6.36</v>
      </c>
    </row>
    <row r="2634" spans="1:6" x14ac:dyDescent="0.25">
      <c r="A2634" s="1">
        <v>44448</v>
      </c>
      <c r="B2634">
        <v>2.88</v>
      </c>
      <c r="C2634" s="11">
        <f t="shared" si="164"/>
        <v>2.8799999999999999E-2</v>
      </c>
      <c r="D2634">
        <f t="shared" si="165"/>
        <v>2021</v>
      </c>
      <c r="E2634" t="str">
        <f t="shared" si="166"/>
        <v>Sep-2021</v>
      </c>
      <c r="F2634" s="12">
        <f t="shared" si="167"/>
        <v>6.36</v>
      </c>
    </row>
    <row r="2635" spans="1:6" x14ac:dyDescent="0.25">
      <c r="A2635" s="1">
        <v>44455</v>
      </c>
      <c r="B2635">
        <v>2.86</v>
      </c>
      <c r="C2635" s="11">
        <f t="shared" si="164"/>
        <v>2.86E-2</v>
      </c>
      <c r="D2635">
        <f t="shared" si="165"/>
        <v>2021</v>
      </c>
      <c r="E2635" t="str">
        <f t="shared" si="166"/>
        <v>Sep-2021</v>
      </c>
      <c r="F2635" s="12">
        <f t="shared" si="167"/>
        <v>6.36</v>
      </c>
    </row>
    <row r="2636" spans="1:6" x14ac:dyDescent="0.25">
      <c r="A2636" s="1">
        <v>44462</v>
      </c>
      <c r="B2636">
        <v>2.88</v>
      </c>
      <c r="C2636" s="11">
        <f t="shared" si="164"/>
        <v>2.8799999999999999E-2</v>
      </c>
      <c r="D2636">
        <f t="shared" si="165"/>
        <v>2021</v>
      </c>
      <c r="E2636" t="str">
        <f t="shared" si="166"/>
        <v>Sep-2021</v>
      </c>
      <c r="F2636" s="12">
        <f t="shared" si="167"/>
        <v>6.36</v>
      </c>
    </row>
    <row r="2637" spans="1:6" x14ac:dyDescent="0.25">
      <c r="A2637" s="1">
        <v>44469</v>
      </c>
      <c r="B2637">
        <v>3.01</v>
      </c>
      <c r="C2637" s="11">
        <f t="shared" si="164"/>
        <v>3.0099999999999998E-2</v>
      </c>
      <c r="D2637">
        <f t="shared" si="165"/>
        <v>2021</v>
      </c>
      <c r="E2637" t="str">
        <f t="shared" si="166"/>
        <v>Sep-2021</v>
      </c>
      <c r="F2637" s="12">
        <f t="shared" si="167"/>
        <v>6.36</v>
      </c>
    </row>
    <row r="2638" spans="1:6" x14ac:dyDescent="0.25">
      <c r="A2638" s="1">
        <v>44476</v>
      </c>
      <c r="B2638">
        <v>2.99</v>
      </c>
      <c r="C2638" s="11">
        <f t="shared" si="164"/>
        <v>2.9900000000000003E-2</v>
      </c>
      <c r="D2638">
        <f t="shared" si="165"/>
        <v>2021</v>
      </c>
      <c r="E2638" t="str">
        <f t="shared" si="166"/>
        <v>Oct-2021</v>
      </c>
      <c r="F2638" s="12">
        <f t="shared" si="167"/>
        <v>6.36</v>
      </c>
    </row>
    <row r="2639" spans="1:6" x14ac:dyDescent="0.25">
      <c r="A2639" s="1">
        <v>44483</v>
      </c>
      <c r="B2639">
        <v>3.05</v>
      </c>
      <c r="C2639" s="11">
        <f t="shared" si="164"/>
        <v>3.0499999999999999E-2</v>
      </c>
      <c r="D2639">
        <f t="shared" si="165"/>
        <v>2021</v>
      </c>
      <c r="E2639" t="str">
        <f t="shared" si="166"/>
        <v>Oct-2021</v>
      </c>
      <c r="F2639" s="12">
        <f t="shared" si="167"/>
        <v>6.36</v>
      </c>
    </row>
    <row r="2640" spans="1:6" x14ac:dyDescent="0.25">
      <c r="A2640" s="1">
        <v>44490</v>
      </c>
      <c r="B2640">
        <v>3.09</v>
      </c>
      <c r="C2640" s="11">
        <f t="shared" si="164"/>
        <v>3.0899999999999997E-2</v>
      </c>
      <c r="D2640">
        <f t="shared" si="165"/>
        <v>2021</v>
      </c>
      <c r="E2640" t="str">
        <f t="shared" si="166"/>
        <v>Oct-2021</v>
      </c>
      <c r="F2640" s="12">
        <f t="shared" si="167"/>
        <v>6.36</v>
      </c>
    </row>
    <row r="2641" spans="1:6" x14ac:dyDescent="0.25">
      <c r="A2641" s="1">
        <v>44497</v>
      </c>
      <c r="B2641">
        <v>3.14</v>
      </c>
      <c r="C2641" s="11">
        <f t="shared" si="164"/>
        <v>3.1400000000000004E-2</v>
      </c>
      <c r="D2641">
        <f t="shared" si="165"/>
        <v>2021</v>
      </c>
      <c r="E2641" t="str">
        <f t="shared" si="166"/>
        <v>Oct-2021</v>
      </c>
      <c r="F2641" s="12">
        <f t="shared" si="167"/>
        <v>6.36</v>
      </c>
    </row>
    <row r="2642" spans="1:6" x14ac:dyDescent="0.25">
      <c r="A2642" s="1">
        <v>44504</v>
      </c>
      <c r="B2642">
        <v>3.09</v>
      </c>
      <c r="C2642" s="11">
        <f t="shared" si="164"/>
        <v>3.0899999999999997E-2</v>
      </c>
      <c r="D2642">
        <f t="shared" si="165"/>
        <v>2021</v>
      </c>
      <c r="E2642" t="str">
        <f t="shared" si="166"/>
        <v>Nov-2021</v>
      </c>
      <c r="F2642" s="12">
        <f t="shared" si="167"/>
        <v>6.36</v>
      </c>
    </row>
    <row r="2643" spans="1:6" x14ac:dyDescent="0.25">
      <c r="A2643" s="1">
        <v>44510</v>
      </c>
      <c r="B2643">
        <v>2.98</v>
      </c>
      <c r="C2643" s="11">
        <f t="shared" si="164"/>
        <v>2.98E-2</v>
      </c>
      <c r="D2643">
        <f t="shared" si="165"/>
        <v>2021</v>
      </c>
      <c r="E2643" t="str">
        <f t="shared" si="166"/>
        <v>Nov-2021</v>
      </c>
      <c r="F2643" s="12">
        <f t="shared" si="167"/>
        <v>6.36</v>
      </c>
    </row>
    <row r="2644" spans="1:6" x14ac:dyDescent="0.25">
      <c r="A2644" s="1">
        <v>44518</v>
      </c>
      <c r="B2644">
        <v>3.1</v>
      </c>
      <c r="C2644" s="11">
        <f t="shared" si="164"/>
        <v>3.1E-2</v>
      </c>
      <c r="D2644">
        <f t="shared" si="165"/>
        <v>2021</v>
      </c>
      <c r="E2644" t="str">
        <f t="shared" si="166"/>
        <v>Nov-2021</v>
      </c>
      <c r="F2644" s="12">
        <f t="shared" si="167"/>
        <v>6.36</v>
      </c>
    </row>
    <row r="2645" spans="1:6" x14ac:dyDescent="0.25">
      <c r="A2645" s="1">
        <v>44524</v>
      </c>
      <c r="B2645">
        <v>3.1</v>
      </c>
      <c r="C2645" s="11">
        <f t="shared" si="164"/>
        <v>3.1E-2</v>
      </c>
      <c r="D2645">
        <f t="shared" si="165"/>
        <v>2021</v>
      </c>
      <c r="E2645" t="str">
        <f t="shared" si="166"/>
        <v>Nov-2021</v>
      </c>
      <c r="F2645" s="12">
        <f t="shared" si="167"/>
        <v>6.36</v>
      </c>
    </row>
    <row r="2646" spans="1:6" x14ac:dyDescent="0.25">
      <c r="A2646" s="1">
        <v>44532</v>
      </c>
      <c r="B2646">
        <v>3.11</v>
      </c>
      <c r="C2646" s="11">
        <f t="shared" si="164"/>
        <v>3.1099999999999999E-2</v>
      </c>
      <c r="D2646">
        <f t="shared" si="165"/>
        <v>2021</v>
      </c>
      <c r="E2646" t="str">
        <f t="shared" si="166"/>
        <v>Dec-2021</v>
      </c>
      <c r="F2646" s="12">
        <f t="shared" si="167"/>
        <v>6.36</v>
      </c>
    </row>
    <row r="2647" spans="1:6" x14ac:dyDescent="0.25">
      <c r="A2647" s="1">
        <v>44539</v>
      </c>
      <c r="B2647">
        <v>3.1</v>
      </c>
      <c r="C2647" s="11">
        <f t="shared" si="164"/>
        <v>3.1E-2</v>
      </c>
      <c r="D2647">
        <f t="shared" si="165"/>
        <v>2021</v>
      </c>
      <c r="E2647" t="str">
        <f t="shared" si="166"/>
        <v>Dec-2021</v>
      </c>
      <c r="F2647" s="12">
        <f t="shared" si="167"/>
        <v>6.36</v>
      </c>
    </row>
    <row r="2648" spans="1:6" x14ac:dyDescent="0.25">
      <c r="A2648" s="1">
        <v>44546</v>
      </c>
      <c r="B2648">
        <v>3.12</v>
      </c>
      <c r="C2648" s="11">
        <f t="shared" si="164"/>
        <v>3.1200000000000002E-2</v>
      </c>
      <c r="D2648">
        <f t="shared" si="165"/>
        <v>2021</v>
      </c>
      <c r="E2648" t="str">
        <f t="shared" si="166"/>
        <v>Dec-2021</v>
      </c>
      <c r="F2648" s="12">
        <f t="shared" si="167"/>
        <v>6.36</v>
      </c>
    </row>
    <row r="2649" spans="1:6" x14ac:dyDescent="0.25">
      <c r="A2649" s="1">
        <v>44553</v>
      </c>
      <c r="B2649">
        <v>3.05</v>
      </c>
      <c r="C2649" s="11">
        <f t="shared" si="164"/>
        <v>3.0499999999999999E-2</v>
      </c>
      <c r="D2649">
        <f t="shared" si="165"/>
        <v>2021</v>
      </c>
      <c r="E2649" t="str">
        <f t="shared" si="166"/>
        <v>Dec-2021</v>
      </c>
      <c r="F2649" s="12">
        <f t="shared" si="167"/>
        <v>6.36</v>
      </c>
    </row>
    <row r="2650" spans="1:6" x14ac:dyDescent="0.25">
      <c r="A2650" s="1">
        <v>44560</v>
      </c>
      <c r="B2650">
        <v>3.11</v>
      </c>
      <c r="C2650" s="11">
        <f t="shared" si="164"/>
        <v>3.1099999999999999E-2</v>
      </c>
      <c r="D2650">
        <f t="shared" si="165"/>
        <v>2021</v>
      </c>
      <c r="E2650" t="str">
        <f t="shared" si="166"/>
        <v>Dec-2021</v>
      </c>
      <c r="F2650" s="12">
        <f t="shared" si="167"/>
        <v>6.36</v>
      </c>
    </row>
    <row r="2651" spans="1:6" x14ac:dyDescent="0.25">
      <c r="A2651" s="1">
        <v>44567</v>
      </c>
      <c r="B2651">
        <v>3.22</v>
      </c>
      <c r="C2651" s="11">
        <f t="shared" si="164"/>
        <v>3.2199999999999999E-2</v>
      </c>
      <c r="D2651">
        <f t="shared" si="165"/>
        <v>2022</v>
      </c>
      <c r="E2651" t="str">
        <f t="shared" si="166"/>
        <v>Jan-2022</v>
      </c>
      <c r="F2651" s="12">
        <f t="shared" si="167"/>
        <v>6.36</v>
      </c>
    </row>
    <row r="2652" spans="1:6" x14ac:dyDescent="0.25">
      <c r="A2652" s="1">
        <v>44574</v>
      </c>
      <c r="B2652">
        <v>3.45</v>
      </c>
      <c r="C2652" s="11">
        <f t="shared" si="164"/>
        <v>3.4500000000000003E-2</v>
      </c>
      <c r="D2652">
        <f t="shared" si="165"/>
        <v>2022</v>
      </c>
      <c r="E2652" t="str">
        <f t="shared" si="166"/>
        <v>Jan-2022</v>
      </c>
      <c r="F2652" s="12">
        <f t="shared" si="167"/>
        <v>6.36</v>
      </c>
    </row>
    <row r="2653" spans="1:6" x14ac:dyDescent="0.25">
      <c r="A2653" s="1">
        <v>44581</v>
      </c>
      <c r="B2653">
        <v>3.56</v>
      </c>
      <c r="C2653" s="11">
        <f t="shared" si="164"/>
        <v>3.56E-2</v>
      </c>
      <c r="D2653">
        <f t="shared" si="165"/>
        <v>2022</v>
      </c>
      <c r="E2653" t="str">
        <f t="shared" si="166"/>
        <v>Jan-2022</v>
      </c>
      <c r="F2653" s="12">
        <f t="shared" si="167"/>
        <v>6.36</v>
      </c>
    </row>
    <row r="2654" spans="1:6" x14ac:dyDescent="0.25">
      <c r="A2654" s="1">
        <v>44588</v>
      </c>
      <c r="B2654">
        <v>3.55</v>
      </c>
      <c r="C2654" s="11">
        <f t="shared" si="164"/>
        <v>3.5499999999999997E-2</v>
      </c>
      <c r="D2654">
        <f t="shared" si="165"/>
        <v>2022</v>
      </c>
      <c r="E2654" t="str">
        <f t="shared" si="166"/>
        <v>Jan-2022</v>
      </c>
      <c r="F2654" s="12">
        <f t="shared" si="167"/>
        <v>6.36</v>
      </c>
    </row>
    <row r="2655" spans="1:6" x14ac:dyDescent="0.25">
      <c r="A2655" s="1">
        <v>44595</v>
      </c>
      <c r="B2655">
        <v>3.55</v>
      </c>
      <c r="C2655" s="11">
        <f t="shared" si="164"/>
        <v>3.5499999999999997E-2</v>
      </c>
      <c r="D2655">
        <f t="shared" si="165"/>
        <v>2022</v>
      </c>
      <c r="E2655" t="str">
        <f t="shared" si="166"/>
        <v>Feb-2022</v>
      </c>
      <c r="F2655" s="12">
        <f t="shared" si="167"/>
        <v>6.36</v>
      </c>
    </row>
    <row r="2656" spans="1:6" x14ac:dyDescent="0.25">
      <c r="A2656" s="1">
        <v>44602</v>
      </c>
      <c r="B2656">
        <v>3.69</v>
      </c>
      <c r="C2656" s="11">
        <f t="shared" si="164"/>
        <v>3.6900000000000002E-2</v>
      </c>
      <c r="D2656">
        <f t="shared" si="165"/>
        <v>2022</v>
      </c>
      <c r="E2656" t="str">
        <f t="shared" si="166"/>
        <v>Feb-2022</v>
      </c>
      <c r="F2656" s="12">
        <f t="shared" si="167"/>
        <v>6.36</v>
      </c>
    </row>
    <row r="2657" spans="1:6" x14ac:dyDescent="0.25">
      <c r="A2657" s="1">
        <v>44609</v>
      </c>
      <c r="B2657">
        <v>3.92</v>
      </c>
      <c r="C2657" s="11">
        <f t="shared" si="164"/>
        <v>3.9199999999999999E-2</v>
      </c>
      <c r="D2657">
        <f t="shared" si="165"/>
        <v>2022</v>
      </c>
      <c r="E2657" t="str">
        <f t="shared" si="166"/>
        <v>Feb-2022</v>
      </c>
      <c r="F2657" s="12">
        <f t="shared" si="167"/>
        <v>6.36</v>
      </c>
    </row>
    <row r="2658" spans="1:6" x14ac:dyDescent="0.25">
      <c r="A2658" s="1">
        <v>44616</v>
      </c>
      <c r="B2658">
        <v>3.89</v>
      </c>
      <c r="C2658" s="11">
        <f t="shared" si="164"/>
        <v>3.8900000000000004E-2</v>
      </c>
      <c r="D2658">
        <f t="shared" si="165"/>
        <v>2022</v>
      </c>
      <c r="E2658" t="str">
        <f t="shared" si="166"/>
        <v>Feb-2022</v>
      </c>
      <c r="F2658" s="12">
        <f t="shared" si="167"/>
        <v>6.36</v>
      </c>
    </row>
    <row r="2659" spans="1:6" x14ac:dyDescent="0.25">
      <c r="A2659" s="1">
        <v>44623</v>
      </c>
      <c r="B2659">
        <v>3.76</v>
      </c>
      <c r="C2659" s="11">
        <f t="shared" si="164"/>
        <v>3.7599999999999995E-2</v>
      </c>
      <c r="D2659">
        <f t="shared" si="165"/>
        <v>2022</v>
      </c>
      <c r="E2659" t="str">
        <f t="shared" si="166"/>
        <v>Mar-2022</v>
      </c>
      <c r="F2659" s="12">
        <f t="shared" si="167"/>
        <v>6.36</v>
      </c>
    </row>
    <row r="2660" spans="1:6" x14ac:dyDescent="0.25">
      <c r="A2660" s="1">
        <v>44630</v>
      </c>
      <c r="B2660">
        <v>3.85</v>
      </c>
      <c r="C2660" s="11">
        <f t="shared" si="164"/>
        <v>3.85E-2</v>
      </c>
      <c r="D2660">
        <f t="shared" si="165"/>
        <v>2022</v>
      </c>
      <c r="E2660" t="str">
        <f t="shared" si="166"/>
        <v>Mar-2022</v>
      </c>
      <c r="F2660" s="12">
        <f t="shared" si="167"/>
        <v>6.36</v>
      </c>
    </row>
    <row r="2661" spans="1:6" x14ac:dyDescent="0.25">
      <c r="A2661" s="1">
        <v>44637</v>
      </c>
      <c r="B2661">
        <v>4.16</v>
      </c>
      <c r="C2661" s="11">
        <f t="shared" si="164"/>
        <v>4.1599999999999998E-2</v>
      </c>
      <c r="D2661">
        <f t="shared" si="165"/>
        <v>2022</v>
      </c>
      <c r="E2661" t="str">
        <f t="shared" si="166"/>
        <v>Mar-2022</v>
      </c>
      <c r="F2661" s="12">
        <f t="shared" si="167"/>
        <v>6.36</v>
      </c>
    </row>
    <row r="2662" spans="1:6" x14ac:dyDescent="0.25">
      <c r="A2662" s="1">
        <v>44644</v>
      </c>
      <c r="B2662">
        <v>4.42</v>
      </c>
      <c r="C2662" s="11">
        <f t="shared" si="164"/>
        <v>4.4199999999999996E-2</v>
      </c>
      <c r="D2662">
        <f t="shared" si="165"/>
        <v>2022</v>
      </c>
      <c r="E2662" t="str">
        <f t="shared" si="166"/>
        <v>Mar-2022</v>
      </c>
      <c r="F2662" s="12">
        <f t="shared" si="167"/>
        <v>6.36</v>
      </c>
    </row>
    <row r="2663" spans="1:6" x14ac:dyDescent="0.25">
      <c r="A2663" s="1">
        <v>44651</v>
      </c>
      <c r="B2663">
        <v>4.67</v>
      </c>
      <c r="C2663" s="11">
        <f t="shared" si="164"/>
        <v>4.6699999999999998E-2</v>
      </c>
      <c r="D2663">
        <f t="shared" si="165"/>
        <v>2022</v>
      </c>
      <c r="E2663" t="str">
        <f t="shared" si="166"/>
        <v>Mar-2022</v>
      </c>
      <c r="F2663" s="12">
        <f t="shared" si="167"/>
        <v>6.36</v>
      </c>
    </row>
    <row r="2664" spans="1:6" x14ac:dyDescent="0.25">
      <c r="A2664" s="1">
        <v>44658</v>
      </c>
      <c r="B2664">
        <v>4.72</v>
      </c>
      <c r="C2664" s="11">
        <f t="shared" si="164"/>
        <v>4.7199999999999999E-2</v>
      </c>
      <c r="D2664">
        <f t="shared" si="165"/>
        <v>2022</v>
      </c>
      <c r="E2664" t="str">
        <f t="shared" si="166"/>
        <v>Apr-2022</v>
      </c>
      <c r="F2664" s="12">
        <f t="shared" si="167"/>
        <v>6.36</v>
      </c>
    </row>
    <row r="2665" spans="1:6" x14ac:dyDescent="0.25">
      <c r="A2665" s="1">
        <v>44665</v>
      </c>
      <c r="B2665">
        <v>5</v>
      </c>
      <c r="C2665" s="11">
        <f t="shared" si="164"/>
        <v>0.05</v>
      </c>
      <c r="D2665">
        <f t="shared" si="165"/>
        <v>2022</v>
      </c>
      <c r="E2665" t="str">
        <f t="shared" si="166"/>
        <v>Apr-2022</v>
      </c>
      <c r="F2665" s="12">
        <f t="shared" si="167"/>
        <v>6.36</v>
      </c>
    </row>
    <row r="2666" spans="1:6" x14ac:dyDescent="0.25">
      <c r="A2666" s="1">
        <v>44672</v>
      </c>
      <c r="B2666">
        <v>5.1100000000000003</v>
      </c>
      <c r="C2666" s="11">
        <f t="shared" si="164"/>
        <v>5.1100000000000007E-2</v>
      </c>
      <c r="D2666">
        <f t="shared" si="165"/>
        <v>2022</v>
      </c>
      <c r="E2666" t="str">
        <f t="shared" si="166"/>
        <v>Apr-2022</v>
      </c>
      <c r="F2666" s="12">
        <f t="shared" si="167"/>
        <v>6.36</v>
      </c>
    </row>
    <row r="2667" spans="1:6" x14ac:dyDescent="0.25">
      <c r="A2667" s="1">
        <v>44679</v>
      </c>
      <c r="B2667">
        <v>5.0999999999999996</v>
      </c>
      <c r="C2667" s="11">
        <f t="shared" si="164"/>
        <v>5.0999999999999997E-2</v>
      </c>
      <c r="D2667">
        <f t="shared" si="165"/>
        <v>2022</v>
      </c>
      <c r="E2667" t="str">
        <f t="shared" si="166"/>
        <v>Apr-2022</v>
      </c>
      <c r="F2667" s="12">
        <f t="shared" si="167"/>
        <v>6.36</v>
      </c>
    </row>
    <row r="2668" spans="1:6" x14ac:dyDescent="0.25">
      <c r="A2668" s="1">
        <v>44686</v>
      </c>
      <c r="B2668">
        <v>5.27</v>
      </c>
      <c r="C2668" s="11">
        <f t="shared" si="164"/>
        <v>5.2699999999999997E-2</v>
      </c>
      <c r="D2668">
        <f t="shared" si="165"/>
        <v>2022</v>
      </c>
      <c r="E2668" t="str">
        <f t="shared" si="166"/>
        <v>May-2022</v>
      </c>
      <c r="F2668" s="12">
        <f t="shared" si="167"/>
        <v>6.36</v>
      </c>
    </row>
    <row r="2669" spans="1:6" x14ac:dyDescent="0.25">
      <c r="A2669" s="1">
        <v>44693</v>
      </c>
      <c r="B2669">
        <v>5.3</v>
      </c>
      <c r="C2669" s="11">
        <f t="shared" si="164"/>
        <v>5.2999999999999999E-2</v>
      </c>
      <c r="D2669">
        <f t="shared" si="165"/>
        <v>2022</v>
      </c>
      <c r="E2669" t="str">
        <f t="shared" si="166"/>
        <v>May-2022</v>
      </c>
      <c r="F2669" s="12">
        <f t="shared" si="167"/>
        <v>6.36</v>
      </c>
    </row>
    <row r="2670" spans="1:6" x14ac:dyDescent="0.25">
      <c r="A2670" s="1">
        <v>44700</v>
      </c>
      <c r="B2670">
        <v>5.25</v>
      </c>
      <c r="C2670" s="11">
        <f t="shared" si="164"/>
        <v>5.2499999999999998E-2</v>
      </c>
      <c r="D2670">
        <f t="shared" si="165"/>
        <v>2022</v>
      </c>
      <c r="E2670" t="str">
        <f t="shared" si="166"/>
        <v>May-2022</v>
      </c>
      <c r="F2670" s="12">
        <f t="shared" si="167"/>
        <v>6.36</v>
      </c>
    </row>
    <row r="2671" spans="1:6" x14ac:dyDescent="0.25">
      <c r="A2671" s="1">
        <v>44707</v>
      </c>
      <c r="B2671">
        <v>5.0999999999999996</v>
      </c>
      <c r="C2671" s="11">
        <f t="shared" si="164"/>
        <v>5.0999999999999997E-2</v>
      </c>
      <c r="D2671">
        <f t="shared" si="165"/>
        <v>2022</v>
      </c>
      <c r="E2671" t="str">
        <f t="shared" si="166"/>
        <v>May-2022</v>
      </c>
      <c r="F2671" s="12">
        <f t="shared" si="167"/>
        <v>6.36</v>
      </c>
    </row>
    <row r="2672" spans="1:6" x14ac:dyDescent="0.25">
      <c r="A2672" s="1">
        <v>44714</v>
      </c>
      <c r="B2672">
        <v>5.09</v>
      </c>
      <c r="C2672" s="11">
        <f t="shared" si="164"/>
        <v>5.0900000000000001E-2</v>
      </c>
      <c r="D2672">
        <f t="shared" si="165"/>
        <v>2022</v>
      </c>
      <c r="E2672" t="str">
        <f t="shared" si="166"/>
        <v>Jun-2022</v>
      </c>
      <c r="F2672" s="12">
        <f t="shared" si="167"/>
        <v>6.36</v>
      </c>
    </row>
    <row r="2673" spans="1:6" x14ac:dyDescent="0.25">
      <c r="A2673" s="1">
        <v>44721</v>
      </c>
      <c r="B2673">
        <v>5.23</v>
      </c>
      <c r="C2673" s="11">
        <f t="shared" si="164"/>
        <v>5.2300000000000006E-2</v>
      </c>
      <c r="D2673">
        <f t="shared" si="165"/>
        <v>2022</v>
      </c>
      <c r="E2673" t="str">
        <f t="shared" si="166"/>
        <v>Jun-2022</v>
      </c>
      <c r="F2673" s="12">
        <f t="shared" si="167"/>
        <v>6.36</v>
      </c>
    </row>
    <row r="2674" spans="1:6" x14ac:dyDescent="0.25">
      <c r="A2674" s="1">
        <v>44728</v>
      </c>
      <c r="B2674">
        <v>5.78</v>
      </c>
      <c r="C2674" s="11">
        <f t="shared" si="164"/>
        <v>5.7800000000000004E-2</v>
      </c>
      <c r="D2674">
        <f t="shared" si="165"/>
        <v>2022</v>
      </c>
      <c r="E2674" t="str">
        <f t="shared" si="166"/>
        <v>Jun-2022</v>
      </c>
      <c r="F2674" s="12">
        <f t="shared" si="167"/>
        <v>6.36</v>
      </c>
    </row>
    <row r="2675" spans="1:6" x14ac:dyDescent="0.25">
      <c r="A2675" s="1">
        <v>44735</v>
      </c>
      <c r="B2675">
        <v>5.81</v>
      </c>
      <c r="C2675" s="11">
        <f t="shared" si="164"/>
        <v>5.8099999999999999E-2</v>
      </c>
      <c r="D2675">
        <f t="shared" si="165"/>
        <v>2022</v>
      </c>
      <c r="E2675" t="str">
        <f t="shared" si="166"/>
        <v>Jun-2022</v>
      </c>
      <c r="F2675" s="12">
        <f t="shared" si="167"/>
        <v>6.36</v>
      </c>
    </row>
    <row r="2676" spans="1:6" x14ac:dyDescent="0.25">
      <c r="A2676" s="1">
        <v>44742</v>
      </c>
      <c r="B2676">
        <v>5.7</v>
      </c>
      <c r="C2676" s="11">
        <f t="shared" si="164"/>
        <v>5.7000000000000002E-2</v>
      </c>
      <c r="D2676">
        <f t="shared" si="165"/>
        <v>2022</v>
      </c>
      <c r="E2676" t="str">
        <f t="shared" si="166"/>
        <v>Jun-2022</v>
      </c>
      <c r="F2676" s="12">
        <f t="shared" si="167"/>
        <v>6.36</v>
      </c>
    </row>
    <row r="2677" spans="1:6" x14ac:dyDescent="0.25">
      <c r="A2677" s="1">
        <v>44749</v>
      </c>
      <c r="B2677">
        <v>5.3</v>
      </c>
      <c r="C2677" s="11">
        <f t="shared" si="164"/>
        <v>5.2999999999999999E-2</v>
      </c>
      <c r="D2677">
        <f t="shared" si="165"/>
        <v>2022</v>
      </c>
      <c r="E2677" t="str">
        <f t="shared" si="166"/>
        <v>Jul-2022</v>
      </c>
      <c r="F2677" s="12">
        <f t="shared" si="167"/>
        <v>6.36</v>
      </c>
    </row>
    <row r="2678" spans="1:6" x14ac:dyDescent="0.25">
      <c r="A2678" s="1">
        <v>44756</v>
      </c>
      <c r="B2678">
        <v>5.51</v>
      </c>
      <c r="C2678" s="11">
        <f t="shared" si="164"/>
        <v>5.5099999999999996E-2</v>
      </c>
      <c r="D2678">
        <f t="shared" si="165"/>
        <v>2022</v>
      </c>
      <c r="E2678" t="str">
        <f t="shared" si="166"/>
        <v>Jul-2022</v>
      </c>
      <c r="F2678" s="12">
        <f t="shared" si="167"/>
        <v>6.36</v>
      </c>
    </row>
    <row r="2679" spans="1:6" x14ac:dyDescent="0.25">
      <c r="A2679" s="1">
        <v>44763</v>
      </c>
      <c r="B2679">
        <v>5.54</v>
      </c>
      <c r="C2679" s="11">
        <f t="shared" si="164"/>
        <v>5.5399999999999998E-2</v>
      </c>
      <c r="D2679">
        <f t="shared" si="165"/>
        <v>2022</v>
      </c>
      <c r="E2679" t="str">
        <f t="shared" si="166"/>
        <v>Jul-2022</v>
      </c>
      <c r="F2679" s="12">
        <f t="shared" si="167"/>
        <v>6.36</v>
      </c>
    </row>
    <row r="2680" spans="1:6" x14ac:dyDescent="0.25">
      <c r="A2680" s="1">
        <v>44770</v>
      </c>
      <c r="B2680">
        <v>5.3</v>
      </c>
      <c r="C2680" s="11">
        <f t="shared" si="164"/>
        <v>5.2999999999999999E-2</v>
      </c>
      <c r="D2680">
        <f t="shared" si="165"/>
        <v>2022</v>
      </c>
      <c r="E2680" t="str">
        <f t="shared" si="166"/>
        <v>Jul-2022</v>
      </c>
      <c r="F2680" s="12">
        <f t="shared" si="167"/>
        <v>6.36</v>
      </c>
    </row>
    <row r="2681" spans="1:6" x14ac:dyDescent="0.25">
      <c r="A2681" s="1">
        <v>44777</v>
      </c>
      <c r="B2681">
        <v>4.99</v>
      </c>
      <c r="C2681" s="11">
        <f t="shared" si="164"/>
        <v>4.99E-2</v>
      </c>
      <c r="D2681">
        <f t="shared" si="165"/>
        <v>2022</v>
      </c>
      <c r="E2681" t="str">
        <f t="shared" si="166"/>
        <v>Aug-2022</v>
      </c>
      <c r="F2681" s="12">
        <f t="shared" si="167"/>
        <v>6.36</v>
      </c>
    </row>
    <row r="2682" spans="1:6" x14ac:dyDescent="0.25">
      <c r="A2682" s="1">
        <v>44784</v>
      </c>
      <c r="B2682">
        <v>5.22</v>
      </c>
      <c r="C2682" s="11">
        <f t="shared" si="164"/>
        <v>5.2199999999999996E-2</v>
      </c>
      <c r="D2682">
        <f t="shared" si="165"/>
        <v>2022</v>
      </c>
      <c r="E2682" t="str">
        <f t="shared" si="166"/>
        <v>Aug-2022</v>
      </c>
      <c r="F2682" s="12">
        <f t="shared" si="167"/>
        <v>6.36</v>
      </c>
    </row>
    <row r="2683" spans="1:6" x14ac:dyDescent="0.25">
      <c r="A2683" s="1">
        <v>44791</v>
      </c>
      <c r="B2683">
        <v>5.13</v>
      </c>
      <c r="C2683" s="11">
        <f t="shared" si="164"/>
        <v>5.1299999999999998E-2</v>
      </c>
      <c r="D2683">
        <f t="shared" si="165"/>
        <v>2022</v>
      </c>
      <c r="E2683" t="str">
        <f t="shared" si="166"/>
        <v>Aug-2022</v>
      </c>
      <c r="F2683" s="12">
        <f t="shared" si="167"/>
        <v>6.36</v>
      </c>
    </row>
    <row r="2684" spans="1:6" x14ac:dyDescent="0.25">
      <c r="A2684" s="1">
        <v>44798</v>
      </c>
      <c r="B2684">
        <v>5.55</v>
      </c>
      <c r="C2684" s="11">
        <f t="shared" si="164"/>
        <v>5.5500000000000001E-2</v>
      </c>
      <c r="D2684">
        <f t="shared" si="165"/>
        <v>2022</v>
      </c>
      <c r="E2684" t="str">
        <f t="shared" si="166"/>
        <v>Aug-2022</v>
      </c>
      <c r="F2684" s="12">
        <f t="shared" si="167"/>
        <v>6.36</v>
      </c>
    </row>
    <row r="2685" spans="1:6" x14ac:dyDescent="0.25">
      <c r="A2685" s="1">
        <v>44805</v>
      </c>
      <c r="B2685">
        <v>5.66</v>
      </c>
      <c r="C2685" s="11">
        <f t="shared" si="164"/>
        <v>5.6600000000000004E-2</v>
      </c>
      <c r="D2685">
        <f t="shared" si="165"/>
        <v>2022</v>
      </c>
      <c r="E2685" t="str">
        <f t="shared" si="166"/>
        <v>Sep-2022</v>
      </c>
      <c r="F2685" s="12">
        <f t="shared" si="167"/>
        <v>6.36</v>
      </c>
    </row>
    <row r="2686" spans="1:6" x14ac:dyDescent="0.25">
      <c r="A2686" s="1">
        <v>44812</v>
      </c>
      <c r="B2686">
        <v>5.89</v>
      </c>
      <c r="C2686" s="11">
        <f t="shared" si="164"/>
        <v>5.8899999999999994E-2</v>
      </c>
      <c r="D2686">
        <f t="shared" si="165"/>
        <v>2022</v>
      </c>
      <c r="E2686" t="str">
        <f t="shared" si="166"/>
        <v>Sep-2022</v>
      </c>
      <c r="F2686" s="12">
        <f t="shared" si="167"/>
        <v>6.36</v>
      </c>
    </row>
    <row r="2687" spans="1:6" x14ac:dyDescent="0.25">
      <c r="A2687" s="1">
        <v>44819</v>
      </c>
      <c r="B2687">
        <v>6.02</v>
      </c>
      <c r="C2687" s="11">
        <f t="shared" si="164"/>
        <v>6.0199999999999997E-2</v>
      </c>
      <c r="D2687">
        <f t="shared" si="165"/>
        <v>2022</v>
      </c>
      <c r="E2687" t="str">
        <f t="shared" si="166"/>
        <v>Sep-2022</v>
      </c>
      <c r="F2687" s="12">
        <f t="shared" si="167"/>
        <v>6.36</v>
      </c>
    </row>
    <row r="2688" spans="1:6" x14ac:dyDescent="0.25">
      <c r="A2688" s="1">
        <v>44826</v>
      </c>
      <c r="B2688">
        <v>6.29</v>
      </c>
      <c r="C2688" s="11">
        <f t="shared" si="164"/>
        <v>6.2899999999999998E-2</v>
      </c>
      <c r="D2688">
        <f t="shared" si="165"/>
        <v>2022</v>
      </c>
      <c r="E2688" t="str">
        <f t="shared" si="166"/>
        <v>Sep-2022</v>
      </c>
      <c r="F2688" s="12">
        <f t="shared" si="167"/>
        <v>6.36</v>
      </c>
    </row>
    <row r="2689" spans="1:6" x14ac:dyDescent="0.25">
      <c r="A2689" s="1">
        <v>44833</v>
      </c>
      <c r="B2689">
        <v>6.7</v>
      </c>
      <c r="C2689" s="11">
        <f t="shared" si="164"/>
        <v>6.7000000000000004E-2</v>
      </c>
      <c r="D2689">
        <f t="shared" si="165"/>
        <v>2022</v>
      </c>
      <c r="E2689" t="str">
        <f t="shared" si="166"/>
        <v>Sep-2022</v>
      </c>
      <c r="F2689" s="12">
        <f t="shared" si="167"/>
        <v>6.36</v>
      </c>
    </row>
    <row r="2690" spans="1:6" x14ac:dyDescent="0.25">
      <c r="A2690" s="1">
        <v>44840</v>
      </c>
      <c r="B2690">
        <v>6.66</v>
      </c>
      <c r="C2690" s="11">
        <f t="shared" ref="C2690:C2753" si="168">B2690/100</f>
        <v>6.6600000000000006E-2</v>
      </c>
      <c r="D2690">
        <f t="shared" ref="D2690:D2753" si="169">YEAR(A2690)</f>
        <v>2022</v>
      </c>
      <c r="E2690" t="str">
        <f t="shared" ref="E2690:E2753" si="170">TEXT(A2690,"MMM-YYYY")</f>
        <v>Oct-2022</v>
      </c>
      <c r="F2690" s="12">
        <f t="shared" ref="F2690:F2753" si="171">$H$2</f>
        <v>6.36</v>
      </c>
    </row>
    <row r="2691" spans="1:6" x14ac:dyDescent="0.25">
      <c r="A2691" s="1">
        <v>44847</v>
      </c>
      <c r="B2691">
        <v>6.92</v>
      </c>
      <c r="C2691" s="11">
        <f t="shared" si="168"/>
        <v>6.9199999999999998E-2</v>
      </c>
      <c r="D2691">
        <f t="shared" si="169"/>
        <v>2022</v>
      </c>
      <c r="E2691" t="str">
        <f t="shared" si="170"/>
        <v>Oct-2022</v>
      </c>
      <c r="F2691" s="12">
        <f t="shared" si="171"/>
        <v>6.36</v>
      </c>
    </row>
    <row r="2692" spans="1:6" x14ac:dyDescent="0.25">
      <c r="A2692" s="1">
        <v>44854</v>
      </c>
      <c r="B2692">
        <v>6.94</v>
      </c>
      <c r="C2692" s="11">
        <f t="shared" si="168"/>
        <v>6.9400000000000003E-2</v>
      </c>
      <c r="D2692">
        <f t="shared" si="169"/>
        <v>2022</v>
      </c>
      <c r="E2692" t="str">
        <f t="shared" si="170"/>
        <v>Oct-2022</v>
      </c>
      <c r="F2692" s="12">
        <f t="shared" si="171"/>
        <v>6.36</v>
      </c>
    </row>
    <row r="2693" spans="1:6" x14ac:dyDescent="0.25">
      <c r="A2693" s="1">
        <v>44861</v>
      </c>
      <c r="B2693">
        <v>7.08</v>
      </c>
      <c r="C2693" s="11">
        <f t="shared" si="168"/>
        <v>7.0800000000000002E-2</v>
      </c>
      <c r="D2693">
        <f t="shared" si="169"/>
        <v>2022</v>
      </c>
      <c r="E2693" t="str">
        <f t="shared" si="170"/>
        <v>Oct-2022</v>
      </c>
      <c r="F2693" s="12">
        <f t="shared" si="171"/>
        <v>6.36</v>
      </c>
    </row>
    <row r="2694" spans="1:6" x14ac:dyDescent="0.25">
      <c r="A2694" s="1">
        <v>44868</v>
      </c>
      <c r="B2694">
        <v>6.95</v>
      </c>
      <c r="C2694" s="11">
        <f t="shared" si="168"/>
        <v>6.9500000000000006E-2</v>
      </c>
      <c r="D2694">
        <f t="shared" si="169"/>
        <v>2022</v>
      </c>
      <c r="E2694" t="str">
        <f t="shared" si="170"/>
        <v>Nov-2022</v>
      </c>
      <c r="F2694" s="12">
        <f t="shared" si="171"/>
        <v>6.36</v>
      </c>
    </row>
    <row r="2695" spans="1:6" x14ac:dyDescent="0.25">
      <c r="A2695" s="1">
        <v>44875</v>
      </c>
      <c r="B2695">
        <v>7.08</v>
      </c>
      <c r="C2695" s="11">
        <f t="shared" si="168"/>
        <v>7.0800000000000002E-2</v>
      </c>
      <c r="D2695">
        <f t="shared" si="169"/>
        <v>2022</v>
      </c>
      <c r="E2695" t="str">
        <f t="shared" si="170"/>
        <v>Nov-2022</v>
      </c>
      <c r="F2695" s="12">
        <f t="shared" si="171"/>
        <v>6.36</v>
      </c>
    </row>
    <row r="2696" spans="1:6" x14ac:dyDescent="0.25">
      <c r="A2696" s="1">
        <v>44882</v>
      </c>
      <c r="B2696">
        <v>6.61</v>
      </c>
      <c r="C2696" s="11">
        <f t="shared" si="168"/>
        <v>6.6100000000000006E-2</v>
      </c>
      <c r="D2696">
        <f t="shared" si="169"/>
        <v>2022</v>
      </c>
      <c r="E2696" t="str">
        <f t="shared" si="170"/>
        <v>Nov-2022</v>
      </c>
      <c r="F2696" s="12">
        <f t="shared" si="171"/>
        <v>6.36</v>
      </c>
    </row>
    <row r="2697" spans="1:6" x14ac:dyDescent="0.25">
      <c r="A2697" s="1">
        <v>44888</v>
      </c>
      <c r="B2697">
        <v>6.58</v>
      </c>
      <c r="C2697" s="11">
        <f t="shared" si="168"/>
        <v>6.5799999999999997E-2</v>
      </c>
      <c r="D2697">
        <f t="shared" si="169"/>
        <v>2022</v>
      </c>
      <c r="E2697" t="str">
        <f t="shared" si="170"/>
        <v>Nov-2022</v>
      </c>
      <c r="F2697" s="12">
        <f t="shared" si="171"/>
        <v>6.36</v>
      </c>
    </row>
    <row r="2698" spans="1:6" x14ac:dyDescent="0.25">
      <c r="A2698" s="1">
        <v>44896</v>
      </c>
      <c r="B2698">
        <v>6.49</v>
      </c>
      <c r="C2698" s="11">
        <f t="shared" si="168"/>
        <v>6.4899999999999999E-2</v>
      </c>
      <c r="D2698">
        <f t="shared" si="169"/>
        <v>2022</v>
      </c>
      <c r="E2698" t="str">
        <f t="shared" si="170"/>
        <v>Dec-2022</v>
      </c>
      <c r="F2698" s="12">
        <f t="shared" si="171"/>
        <v>6.36</v>
      </c>
    </row>
    <row r="2699" spans="1:6" x14ac:dyDescent="0.25">
      <c r="A2699" s="1">
        <v>44903</v>
      </c>
      <c r="B2699">
        <v>6.33</v>
      </c>
      <c r="C2699" s="11">
        <f t="shared" si="168"/>
        <v>6.3299999999999995E-2</v>
      </c>
      <c r="D2699">
        <f t="shared" si="169"/>
        <v>2022</v>
      </c>
      <c r="E2699" t="str">
        <f t="shared" si="170"/>
        <v>Dec-2022</v>
      </c>
      <c r="F2699" s="12">
        <f t="shared" si="171"/>
        <v>6.36</v>
      </c>
    </row>
    <row r="2700" spans="1:6" x14ac:dyDescent="0.25">
      <c r="A2700" s="1">
        <v>44910</v>
      </c>
      <c r="B2700">
        <v>6.31</v>
      </c>
      <c r="C2700" s="11">
        <f t="shared" si="168"/>
        <v>6.3099999999999989E-2</v>
      </c>
      <c r="D2700">
        <f t="shared" si="169"/>
        <v>2022</v>
      </c>
      <c r="E2700" t="str">
        <f t="shared" si="170"/>
        <v>Dec-2022</v>
      </c>
      <c r="F2700" s="12">
        <f t="shared" si="171"/>
        <v>6.36</v>
      </c>
    </row>
    <row r="2701" spans="1:6" x14ac:dyDescent="0.25">
      <c r="A2701" s="1">
        <v>44917</v>
      </c>
      <c r="B2701">
        <v>6.27</v>
      </c>
      <c r="C2701" s="11">
        <f t="shared" si="168"/>
        <v>6.2699999999999992E-2</v>
      </c>
      <c r="D2701">
        <f t="shared" si="169"/>
        <v>2022</v>
      </c>
      <c r="E2701" t="str">
        <f t="shared" si="170"/>
        <v>Dec-2022</v>
      </c>
      <c r="F2701" s="12">
        <f t="shared" si="171"/>
        <v>6.36</v>
      </c>
    </row>
    <row r="2702" spans="1:6" x14ac:dyDescent="0.25">
      <c r="A2702" s="1">
        <v>44924</v>
      </c>
      <c r="B2702">
        <v>6.42</v>
      </c>
      <c r="C2702" s="11">
        <f t="shared" si="168"/>
        <v>6.4199999999999993E-2</v>
      </c>
      <c r="D2702">
        <f t="shared" si="169"/>
        <v>2022</v>
      </c>
      <c r="E2702" t="str">
        <f t="shared" si="170"/>
        <v>Dec-2022</v>
      </c>
      <c r="F2702" s="12">
        <f t="shared" si="171"/>
        <v>6.36</v>
      </c>
    </row>
    <row r="2703" spans="1:6" x14ac:dyDescent="0.25">
      <c r="A2703" s="1">
        <v>44931</v>
      </c>
      <c r="B2703">
        <v>6.48</v>
      </c>
      <c r="C2703" s="11">
        <f t="shared" si="168"/>
        <v>6.480000000000001E-2</v>
      </c>
      <c r="D2703">
        <f t="shared" si="169"/>
        <v>2023</v>
      </c>
      <c r="E2703" t="str">
        <f t="shared" si="170"/>
        <v>Jan-2023</v>
      </c>
      <c r="F2703" s="12">
        <f t="shared" si="171"/>
        <v>6.36</v>
      </c>
    </row>
    <row r="2704" spans="1:6" x14ac:dyDescent="0.25">
      <c r="A2704" s="1">
        <v>44938</v>
      </c>
      <c r="B2704">
        <v>6.33</v>
      </c>
      <c r="C2704" s="11">
        <f t="shared" si="168"/>
        <v>6.3299999999999995E-2</v>
      </c>
      <c r="D2704">
        <f t="shared" si="169"/>
        <v>2023</v>
      </c>
      <c r="E2704" t="str">
        <f t="shared" si="170"/>
        <v>Jan-2023</v>
      </c>
      <c r="F2704" s="12">
        <f t="shared" si="171"/>
        <v>6.36</v>
      </c>
    </row>
    <row r="2705" spans="1:6" x14ac:dyDescent="0.25">
      <c r="A2705" s="1">
        <v>44945</v>
      </c>
      <c r="B2705">
        <v>6.15</v>
      </c>
      <c r="C2705" s="11">
        <f t="shared" si="168"/>
        <v>6.1500000000000006E-2</v>
      </c>
      <c r="D2705">
        <f t="shared" si="169"/>
        <v>2023</v>
      </c>
      <c r="E2705" t="str">
        <f t="shared" si="170"/>
        <v>Jan-2023</v>
      </c>
      <c r="F2705" s="12">
        <f t="shared" si="171"/>
        <v>6.36</v>
      </c>
    </row>
    <row r="2706" spans="1:6" x14ac:dyDescent="0.25">
      <c r="A2706" s="1">
        <v>44952</v>
      </c>
      <c r="B2706">
        <v>6.13</v>
      </c>
      <c r="C2706" s="11">
        <f t="shared" si="168"/>
        <v>6.13E-2</v>
      </c>
      <c r="D2706">
        <f t="shared" si="169"/>
        <v>2023</v>
      </c>
      <c r="E2706" t="str">
        <f t="shared" si="170"/>
        <v>Jan-2023</v>
      </c>
      <c r="F2706" s="12">
        <f t="shared" si="171"/>
        <v>6.36</v>
      </c>
    </row>
    <row r="2707" spans="1:6" x14ac:dyDescent="0.25">
      <c r="A2707" s="1">
        <v>44959</v>
      </c>
      <c r="B2707">
        <v>6.09</v>
      </c>
      <c r="C2707" s="11">
        <f t="shared" si="168"/>
        <v>6.0899999999999996E-2</v>
      </c>
      <c r="D2707">
        <f t="shared" si="169"/>
        <v>2023</v>
      </c>
      <c r="E2707" t="str">
        <f t="shared" si="170"/>
        <v>Feb-2023</v>
      </c>
      <c r="F2707" s="12">
        <f t="shared" si="171"/>
        <v>6.36</v>
      </c>
    </row>
    <row r="2708" spans="1:6" x14ac:dyDescent="0.25">
      <c r="A2708" s="1">
        <v>44966</v>
      </c>
      <c r="B2708">
        <v>6.12</v>
      </c>
      <c r="C2708" s="11">
        <f t="shared" si="168"/>
        <v>6.1200000000000004E-2</v>
      </c>
      <c r="D2708">
        <f t="shared" si="169"/>
        <v>2023</v>
      </c>
      <c r="E2708" t="str">
        <f t="shared" si="170"/>
        <v>Feb-2023</v>
      </c>
      <c r="F2708" s="12">
        <f t="shared" si="171"/>
        <v>6.36</v>
      </c>
    </row>
    <row r="2709" spans="1:6" x14ac:dyDescent="0.25">
      <c r="A2709" s="1">
        <v>44973</v>
      </c>
      <c r="B2709">
        <v>6.32</v>
      </c>
      <c r="C2709" s="11">
        <f t="shared" si="168"/>
        <v>6.3200000000000006E-2</v>
      </c>
      <c r="D2709">
        <f t="shared" si="169"/>
        <v>2023</v>
      </c>
      <c r="E2709" t="str">
        <f t="shared" si="170"/>
        <v>Feb-2023</v>
      </c>
      <c r="F2709" s="12">
        <f t="shared" si="171"/>
        <v>6.36</v>
      </c>
    </row>
    <row r="2710" spans="1:6" x14ac:dyDescent="0.25">
      <c r="A2710" s="1">
        <v>44980</v>
      </c>
      <c r="B2710">
        <v>6.5</v>
      </c>
      <c r="C2710" s="11">
        <f t="shared" si="168"/>
        <v>6.5000000000000002E-2</v>
      </c>
      <c r="D2710">
        <f t="shared" si="169"/>
        <v>2023</v>
      </c>
      <c r="E2710" t="str">
        <f t="shared" si="170"/>
        <v>Feb-2023</v>
      </c>
      <c r="F2710" s="12">
        <f t="shared" si="171"/>
        <v>6.36</v>
      </c>
    </row>
    <row r="2711" spans="1:6" x14ac:dyDescent="0.25">
      <c r="A2711" s="1">
        <v>44987</v>
      </c>
      <c r="B2711">
        <v>6.65</v>
      </c>
      <c r="C2711" s="11">
        <f t="shared" si="168"/>
        <v>6.6500000000000004E-2</v>
      </c>
      <c r="D2711">
        <f t="shared" si="169"/>
        <v>2023</v>
      </c>
      <c r="E2711" t="str">
        <f t="shared" si="170"/>
        <v>Mar-2023</v>
      </c>
      <c r="F2711" s="12">
        <f t="shared" si="171"/>
        <v>6.36</v>
      </c>
    </row>
    <row r="2712" spans="1:6" x14ac:dyDescent="0.25">
      <c r="A2712" s="1">
        <v>44994</v>
      </c>
      <c r="B2712">
        <v>6.73</v>
      </c>
      <c r="C2712" s="11">
        <f t="shared" si="168"/>
        <v>6.7299999999999999E-2</v>
      </c>
      <c r="D2712">
        <f t="shared" si="169"/>
        <v>2023</v>
      </c>
      <c r="E2712" t="str">
        <f t="shared" si="170"/>
        <v>Mar-2023</v>
      </c>
      <c r="F2712" s="12">
        <f t="shared" si="171"/>
        <v>6.36</v>
      </c>
    </row>
    <row r="2713" spans="1:6" x14ac:dyDescent="0.25">
      <c r="A2713" s="1">
        <v>45001</v>
      </c>
      <c r="B2713">
        <v>6.6</v>
      </c>
      <c r="C2713" s="11">
        <f t="shared" si="168"/>
        <v>6.6000000000000003E-2</v>
      </c>
      <c r="D2713">
        <f t="shared" si="169"/>
        <v>2023</v>
      </c>
      <c r="E2713" t="str">
        <f t="shared" si="170"/>
        <v>Mar-2023</v>
      </c>
      <c r="F2713" s="12">
        <f t="shared" si="171"/>
        <v>6.36</v>
      </c>
    </row>
    <row r="2714" spans="1:6" x14ac:dyDescent="0.25">
      <c r="A2714" s="1">
        <v>45008</v>
      </c>
      <c r="B2714">
        <v>6.42</v>
      </c>
      <c r="C2714" s="11">
        <f t="shared" si="168"/>
        <v>6.4199999999999993E-2</v>
      </c>
      <c r="D2714">
        <f t="shared" si="169"/>
        <v>2023</v>
      </c>
      <c r="E2714" t="str">
        <f t="shared" si="170"/>
        <v>Mar-2023</v>
      </c>
      <c r="F2714" s="12">
        <f t="shared" si="171"/>
        <v>6.36</v>
      </c>
    </row>
    <row r="2715" spans="1:6" x14ac:dyDescent="0.25">
      <c r="A2715" s="1">
        <v>45015</v>
      </c>
      <c r="B2715">
        <v>6.32</v>
      </c>
      <c r="C2715" s="11">
        <f t="shared" si="168"/>
        <v>6.3200000000000006E-2</v>
      </c>
      <c r="D2715">
        <f t="shared" si="169"/>
        <v>2023</v>
      </c>
      <c r="E2715" t="str">
        <f t="shared" si="170"/>
        <v>Mar-2023</v>
      </c>
      <c r="F2715" s="12">
        <f t="shared" si="171"/>
        <v>6.36</v>
      </c>
    </row>
    <row r="2716" spans="1:6" x14ac:dyDescent="0.25">
      <c r="A2716" s="1">
        <v>45022</v>
      </c>
      <c r="B2716">
        <v>6.28</v>
      </c>
      <c r="C2716" s="11">
        <f t="shared" si="168"/>
        <v>6.2800000000000009E-2</v>
      </c>
      <c r="D2716">
        <f t="shared" si="169"/>
        <v>2023</v>
      </c>
      <c r="E2716" t="str">
        <f t="shared" si="170"/>
        <v>Apr-2023</v>
      </c>
      <c r="F2716" s="12">
        <f t="shared" si="171"/>
        <v>6.36</v>
      </c>
    </row>
    <row r="2717" spans="1:6" x14ac:dyDescent="0.25">
      <c r="A2717" s="1">
        <v>45029</v>
      </c>
      <c r="B2717">
        <v>6.27</v>
      </c>
      <c r="C2717" s="11">
        <f t="shared" si="168"/>
        <v>6.2699999999999992E-2</v>
      </c>
      <c r="D2717">
        <f t="shared" si="169"/>
        <v>2023</v>
      </c>
      <c r="E2717" t="str">
        <f t="shared" si="170"/>
        <v>Apr-2023</v>
      </c>
      <c r="F2717" s="12">
        <f t="shared" si="171"/>
        <v>6.36</v>
      </c>
    </row>
    <row r="2718" spans="1:6" x14ac:dyDescent="0.25">
      <c r="A2718" s="1">
        <v>45036</v>
      </c>
      <c r="B2718">
        <v>6.39</v>
      </c>
      <c r="C2718" s="11">
        <f t="shared" si="168"/>
        <v>6.3899999999999998E-2</v>
      </c>
      <c r="D2718">
        <f t="shared" si="169"/>
        <v>2023</v>
      </c>
      <c r="E2718" t="str">
        <f t="shared" si="170"/>
        <v>Apr-2023</v>
      </c>
      <c r="F2718" s="12">
        <f t="shared" si="171"/>
        <v>6.36</v>
      </c>
    </row>
    <row r="2719" spans="1:6" x14ac:dyDescent="0.25">
      <c r="A2719" s="1">
        <v>45043</v>
      </c>
      <c r="B2719">
        <v>6.43</v>
      </c>
      <c r="C2719" s="11">
        <f t="shared" si="168"/>
        <v>6.4299999999999996E-2</v>
      </c>
      <c r="D2719">
        <f t="shared" si="169"/>
        <v>2023</v>
      </c>
      <c r="E2719" t="str">
        <f t="shared" si="170"/>
        <v>Apr-2023</v>
      </c>
      <c r="F2719" s="12">
        <f t="shared" si="171"/>
        <v>6.36</v>
      </c>
    </row>
    <row r="2720" spans="1:6" x14ac:dyDescent="0.25">
      <c r="A2720" s="1">
        <v>45050</v>
      </c>
      <c r="B2720">
        <v>6.39</v>
      </c>
      <c r="C2720" s="11">
        <f t="shared" si="168"/>
        <v>6.3899999999999998E-2</v>
      </c>
      <c r="D2720">
        <f t="shared" si="169"/>
        <v>2023</v>
      </c>
      <c r="E2720" t="str">
        <f t="shared" si="170"/>
        <v>May-2023</v>
      </c>
      <c r="F2720" s="12">
        <f t="shared" si="171"/>
        <v>6.36</v>
      </c>
    </row>
    <row r="2721" spans="1:6" x14ac:dyDescent="0.25">
      <c r="A2721" s="1">
        <v>45057</v>
      </c>
      <c r="B2721">
        <v>6.35</v>
      </c>
      <c r="C2721" s="11">
        <f t="shared" si="168"/>
        <v>6.3500000000000001E-2</v>
      </c>
      <c r="D2721">
        <f t="shared" si="169"/>
        <v>2023</v>
      </c>
      <c r="E2721" t="str">
        <f t="shared" si="170"/>
        <v>May-2023</v>
      </c>
      <c r="F2721" s="12">
        <f t="shared" si="171"/>
        <v>6.36</v>
      </c>
    </row>
    <row r="2722" spans="1:6" x14ac:dyDescent="0.25">
      <c r="A2722" s="1">
        <v>45064</v>
      </c>
      <c r="B2722">
        <v>6.39</v>
      </c>
      <c r="C2722" s="11">
        <f t="shared" si="168"/>
        <v>6.3899999999999998E-2</v>
      </c>
      <c r="D2722">
        <f t="shared" si="169"/>
        <v>2023</v>
      </c>
      <c r="E2722" t="str">
        <f t="shared" si="170"/>
        <v>May-2023</v>
      </c>
      <c r="F2722" s="12">
        <f t="shared" si="171"/>
        <v>6.36</v>
      </c>
    </row>
    <row r="2723" spans="1:6" x14ac:dyDescent="0.25">
      <c r="A2723" s="1">
        <v>45071</v>
      </c>
      <c r="B2723">
        <v>6.57</v>
      </c>
      <c r="C2723" s="11">
        <f t="shared" si="168"/>
        <v>6.5700000000000008E-2</v>
      </c>
      <c r="D2723">
        <f t="shared" si="169"/>
        <v>2023</v>
      </c>
      <c r="E2723" t="str">
        <f t="shared" si="170"/>
        <v>May-2023</v>
      </c>
      <c r="F2723" s="12">
        <f t="shared" si="171"/>
        <v>6.36</v>
      </c>
    </row>
    <row r="2724" spans="1:6" x14ac:dyDescent="0.25">
      <c r="A2724" s="1">
        <v>45078</v>
      </c>
      <c r="B2724">
        <v>6.79</v>
      </c>
      <c r="C2724" s="11">
        <f t="shared" si="168"/>
        <v>6.7900000000000002E-2</v>
      </c>
      <c r="D2724">
        <f t="shared" si="169"/>
        <v>2023</v>
      </c>
      <c r="E2724" t="str">
        <f t="shared" si="170"/>
        <v>Jun-2023</v>
      </c>
      <c r="F2724" s="12">
        <f t="shared" si="171"/>
        <v>6.36</v>
      </c>
    </row>
    <row r="2725" spans="1:6" x14ac:dyDescent="0.25">
      <c r="A2725" s="1">
        <v>45085</v>
      </c>
      <c r="B2725">
        <v>6.71</v>
      </c>
      <c r="C2725" s="11">
        <f t="shared" si="168"/>
        <v>6.7099999999999993E-2</v>
      </c>
      <c r="D2725">
        <f t="shared" si="169"/>
        <v>2023</v>
      </c>
      <c r="E2725" t="str">
        <f t="shared" si="170"/>
        <v>Jun-2023</v>
      </c>
      <c r="F2725" s="12">
        <f t="shared" si="171"/>
        <v>6.36</v>
      </c>
    </row>
    <row r="2726" spans="1:6" x14ac:dyDescent="0.25">
      <c r="A2726" s="1">
        <v>45092</v>
      </c>
      <c r="B2726">
        <v>6.69</v>
      </c>
      <c r="C2726" s="11">
        <f t="shared" si="168"/>
        <v>6.6900000000000001E-2</v>
      </c>
      <c r="D2726">
        <f t="shared" si="169"/>
        <v>2023</v>
      </c>
      <c r="E2726" t="str">
        <f t="shared" si="170"/>
        <v>Jun-2023</v>
      </c>
      <c r="F2726" s="12">
        <f t="shared" si="171"/>
        <v>6.36</v>
      </c>
    </row>
    <row r="2727" spans="1:6" x14ac:dyDescent="0.25">
      <c r="A2727" s="1">
        <v>45099</v>
      </c>
      <c r="B2727">
        <v>6.67</v>
      </c>
      <c r="C2727" s="11">
        <f t="shared" si="168"/>
        <v>6.6699999999999995E-2</v>
      </c>
      <c r="D2727">
        <f t="shared" si="169"/>
        <v>2023</v>
      </c>
      <c r="E2727" t="str">
        <f t="shared" si="170"/>
        <v>Jun-2023</v>
      </c>
      <c r="F2727" s="12">
        <f t="shared" si="171"/>
        <v>6.36</v>
      </c>
    </row>
    <row r="2728" spans="1:6" x14ac:dyDescent="0.25">
      <c r="A2728" s="1">
        <v>45106</v>
      </c>
      <c r="B2728">
        <v>6.71</v>
      </c>
      <c r="C2728" s="11">
        <f t="shared" si="168"/>
        <v>6.7099999999999993E-2</v>
      </c>
      <c r="D2728">
        <f t="shared" si="169"/>
        <v>2023</v>
      </c>
      <c r="E2728" t="str">
        <f t="shared" si="170"/>
        <v>Jun-2023</v>
      </c>
      <c r="F2728" s="12">
        <f t="shared" si="171"/>
        <v>6.36</v>
      </c>
    </row>
    <row r="2729" spans="1:6" x14ac:dyDescent="0.25">
      <c r="A2729" s="1">
        <v>45113</v>
      </c>
      <c r="B2729">
        <v>6.81</v>
      </c>
      <c r="C2729" s="11">
        <f t="shared" si="168"/>
        <v>6.8099999999999994E-2</v>
      </c>
      <c r="D2729">
        <f t="shared" si="169"/>
        <v>2023</v>
      </c>
      <c r="E2729" t="str">
        <f t="shared" si="170"/>
        <v>Jul-2023</v>
      </c>
      <c r="F2729" s="12">
        <f t="shared" si="171"/>
        <v>6.36</v>
      </c>
    </row>
    <row r="2730" spans="1:6" x14ac:dyDescent="0.25">
      <c r="A2730" s="1">
        <v>45120</v>
      </c>
      <c r="B2730">
        <v>6.96</v>
      </c>
      <c r="C2730" s="11">
        <f t="shared" si="168"/>
        <v>6.9599999999999995E-2</v>
      </c>
      <c r="D2730">
        <f t="shared" si="169"/>
        <v>2023</v>
      </c>
      <c r="E2730" t="str">
        <f t="shared" si="170"/>
        <v>Jul-2023</v>
      </c>
      <c r="F2730" s="12">
        <f t="shared" si="171"/>
        <v>6.36</v>
      </c>
    </row>
    <row r="2731" spans="1:6" x14ac:dyDescent="0.25">
      <c r="A2731" s="1">
        <v>45127</v>
      </c>
      <c r="B2731">
        <v>6.78</v>
      </c>
      <c r="C2731" s="11">
        <f t="shared" si="168"/>
        <v>6.7799999999999999E-2</v>
      </c>
      <c r="D2731">
        <f t="shared" si="169"/>
        <v>2023</v>
      </c>
      <c r="E2731" t="str">
        <f t="shared" si="170"/>
        <v>Jul-2023</v>
      </c>
      <c r="F2731" s="12">
        <f t="shared" si="171"/>
        <v>6.36</v>
      </c>
    </row>
    <row r="2732" spans="1:6" x14ac:dyDescent="0.25">
      <c r="A2732" s="1">
        <v>45134</v>
      </c>
      <c r="B2732">
        <v>6.81</v>
      </c>
      <c r="C2732" s="11">
        <f t="shared" si="168"/>
        <v>6.8099999999999994E-2</v>
      </c>
      <c r="D2732">
        <f t="shared" si="169"/>
        <v>2023</v>
      </c>
      <c r="E2732" t="str">
        <f t="shared" si="170"/>
        <v>Jul-2023</v>
      </c>
      <c r="F2732" s="12">
        <f t="shared" si="171"/>
        <v>6.36</v>
      </c>
    </row>
    <row r="2733" spans="1:6" x14ac:dyDescent="0.25">
      <c r="A2733" s="1">
        <v>45141</v>
      </c>
      <c r="B2733">
        <v>6.9</v>
      </c>
      <c r="C2733" s="11">
        <f t="shared" si="168"/>
        <v>6.9000000000000006E-2</v>
      </c>
      <c r="D2733">
        <f t="shared" si="169"/>
        <v>2023</v>
      </c>
      <c r="E2733" t="str">
        <f t="shared" si="170"/>
        <v>Aug-2023</v>
      </c>
      <c r="F2733" s="12">
        <f t="shared" si="171"/>
        <v>6.36</v>
      </c>
    </row>
    <row r="2734" spans="1:6" x14ac:dyDescent="0.25">
      <c r="A2734" s="1">
        <v>45148</v>
      </c>
      <c r="B2734">
        <v>6.96</v>
      </c>
      <c r="C2734" s="11">
        <f t="shared" si="168"/>
        <v>6.9599999999999995E-2</v>
      </c>
      <c r="D2734">
        <f t="shared" si="169"/>
        <v>2023</v>
      </c>
      <c r="E2734" t="str">
        <f t="shared" si="170"/>
        <v>Aug-2023</v>
      </c>
      <c r="F2734" s="12">
        <f t="shared" si="171"/>
        <v>6.36</v>
      </c>
    </row>
    <row r="2735" spans="1:6" x14ac:dyDescent="0.25">
      <c r="A2735" s="1">
        <v>45155</v>
      </c>
      <c r="B2735">
        <v>7.09</v>
      </c>
      <c r="C2735" s="11">
        <f t="shared" si="168"/>
        <v>7.0900000000000005E-2</v>
      </c>
      <c r="D2735">
        <f t="shared" si="169"/>
        <v>2023</v>
      </c>
      <c r="E2735" t="str">
        <f t="shared" si="170"/>
        <v>Aug-2023</v>
      </c>
      <c r="F2735" s="12">
        <f t="shared" si="171"/>
        <v>6.36</v>
      </c>
    </row>
    <row r="2736" spans="1:6" x14ac:dyDescent="0.25">
      <c r="A2736" s="1">
        <v>45162</v>
      </c>
      <c r="B2736">
        <v>7.23</v>
      </c>
      <c r="C2736" s="11">
        <f t="shared" si="168"/>
        <v>7.2300000000000003E-2</v>
      </c>
      <c r="D2736">
        <f t="shared" si="169"/>
        <v>2023</v>
      </c>
      <c r="E2736" t="str">
        <f t="shared" si="170"/>
        <v>Aug-2023</v>
      </c>
      <c r="F2736" s="12">
        <f t="shared" si="171"/>
        <v>6.36</v>
      </c>
    </row>
    <row r="2737" spans="1:6" x14ac:dyDescent="0.25">
      <c r="A2737" s="1">
        <v>45169</v>
      </c>
      <c r="B2737">
        <v>7.18</v>
      </c>
      <c r="C2737" s="11">
        <f t="shared" si="168"/>
        <v>7.1800000000000003E-2</v>
      </c>
      <c r="D2737">
        <f t="shared" si="169"/>
        <v>2023</v>
      </c>
      <c r="E2737" t="str">
        <f t="shared" si="170"/>
        <v>Aug-2023</v>
      </c>
      <c r="F2737" s="12">
        <f t="shared" si="171"/>
        <v>6.36</v>
      </c>
    </row>
    <row r="2738" spans="1:6" x14ac:dyDescent="0.25">
      <c r="A2738" s="1">
        <v>45176</v>
      </c>
      <c r="B2738">
        <v>7.12</v>
      </c>
      <c r="C2738" s="11">
        <f t="shared" si="168"/>
        <v>7.1199999999999999E-2</v>
      </c>
      <c r="D2738">
        <f t="shared" si="169"/>
        <v>2023</v>
      </c>
      <c r="E2738" t="str">
        <f t="shared" si="170"/>
        <v>Sep-2023</v>
      </c>
      <c r="F2738" s="12">
        <f t="shared" si="171"/>
        <v>6.36</v>
      </c>
    </row>
    <row r="2739" spans="1:6" x14ac:dyDescent="0.25">
      <c r="A2739" s="1">
        <v>45183</v>
      </c>
      <c r="B2739">
        <v>7.18</v>
      </c>
      <c r="C2739" s="11">
        <f t="shared" si="168"/>
        <v>7.1800000000000003E-2</v>
      </c>
      <c r="D2739">
        <f t="shared" si="169"/>
        <v>2023</v>
      </c>
      <c r="E2739" t="str">
        <f t="shared" si="170"/>
        <v>Sep-2023</v>
      </c>
      <c r="F2739" s="12">
        <f t="shared" si="171"/>
        <v>6.36</v>
      </c>
    </row>
    <row r="2740" spans="1:6" x14ac:dyDescent="0.25">
      <c r="A2740" s="1">
        <v>45190</v>
      </c>
      <c r="B2740">
        <v>7.19</v>
      </c>
      <c r="C2740" s="11">
        <f t="shared" si="168"/>
        <v>7.1900000000000006E-2</v>
      </c>
      <c r="D2740">
        <f t="shared" si="169"/>
        <v>2023</v>
      </c>
      <c r="E2740" t="str">
        <f t="shared" si="170"/>
        <v>Sep-2023</v>
      </c>
      <c r="F2740" s="12">
        <f t="shared" si="171"/>
        <v>6.36</v>
      </c>
    </row>
    <row r="2741" spans="1:6" x14ac:dyDescent="0.25">
      <c r="A2741" s="1">
        <v>45197</v>
      </c>
      <c r="B2741">
        <v>7.31</v>
      </c>
      <c r="C2741" s="11">
        <f t="shared" si="168"/>
        <v>7.3099999999999998E-2</v>
      </c>
      <c r="D2741">
        <f t="shared" si="169"/>
        <v>2023</v>
      </c>
      <c r="E2741" t="str">
        <f t="shared" si="170"/>
        <v>Sep-2023</v>
      </c>
      <c r="F2741" s="12">
        <f t="shared" si="171"/>
        <v>6.36</v>
      </c>
    </row>
    <row r="2742" spans="1:6" x14ac:dyDescent="0.25">
      <c r="A2742" s="1">
        <v>45204</v>
      </c>
      <c r="B2742">
        <v>7.49</v>
      </c>
      <c r="C2742" s="11">
        <f t="shared" si="168"/>
        <v>7.4900000000000008E-2</v>
      </c>
      <c r="D2742">
        <f t="shared" si="169"/>
        <v>2023</v>
      </c>
      <c r="E2742" t="str">
        <f t="shared" si="170"/>
        <v>Oct-2023</v>
      </c>
      <c r="F2742" s="12">
        <f t="shared" si="171"/>
        <v>6.36</v>
      </c>
    </row>
    <row r="2743" spans="1:6" x14ac:dyDescent="0.25">
      <c r="A2743" s="1">
        <v>45211</v>
      </c>
      <c r="B2743">
        <v>7.57</v>
      </c>
      <c r="C2743" s="11">
        <f t="shared" si="168"/>
        <v>7.5700000000000003E-2</v>
      </c>
      <c r="D2743">
        <f t="shared" si="169"/>
        <v>2023</v>
      </c>
      <c r="E2743" t="str">
        <f t="shared" si="170"/>
        <v>Oct-2023</v>
      </c>
      <c r="F2743" s="12">
        <f t="shared" si="171"/>
        <v>6.36</v>
      </c>
    </row>
    <row r="2744" spans="1:6" x14ac:dyDescent="0.25">
      <c r="A2744" s="1">
        <v>45218</v>
      </c>
      <c r="B2744">
        <v>7.63</v>
      </c>
      <c r="C2744" s="11">
        <f t="shared" si="168"/>
        <v>7.6299999999999993E-2</v>
      </c>
      <c r="D2744">
        <f t="shared" si="169"/>
        <v>2023</v>
      </c>
      <c r="E2744" t="str">
        <f t="shared" si="170"/>
        <v>Oct-2023</v>
      </c>
      <c r="F2744" s="12">
        <f t="shared" si="171"/>
        <v>6.36</v>
      </c>
    </row>
    <row r="2745" spans="1:6" x14ac:dyDescent="0.25">
      <c r="A2745" s="1">
        <v>45225</v>
      </c>
      <c r="B2745">
        <v>7.79</v>
      </c>
      <c r="C2745" s="11">
        <f t="shared" si="168"/>
        <v>7.7899999999999997E-2</v>
      </c>
      <c r="D2745">
        <f t="shared" si="169"/>
        <v>2023</v>
      </c>
      <c r="E2745" t="str">
        <f t="shared" si="170"/>
        <v>Oct-2023</v>
      </c>
      <c r="F2745" s="12">
        <f t="shared" si="171"/>
        <v>6.36</v>
      </c>
    </row>
    <row r="2746" spans="1:6" x14ac:dyDescent="0.25">
      <c r="A2746" s="1">
        <v>45232</v>
      </c>
      <c r="B2746">
        <v>7.76</v>
      </c>
      <c r="C2746" s="11">
        <f t="shared" si="168"/>
        <v>7.7600000000000002E-2</v>
      </c>
      <c r="D2746">
        <f t="shared" si="169"/>
        <v>2023</v>
      </c>
      <c r="E2746" t="str">
        <f t="shared" si="170"/>
        <v>Nov-2023</v>
      </c>
      <c r="F2746" s="12">
        <f t="shared" si="171"/>
        <v>6.36</v>
      </c>
    </row>
    <row r="2747" spans="1:6" x14ac:dyDescent="0.25">
      <c r="A2747" s="1">
        <v>45239</v>
      </c>
      <c r="B2747">
        <v>7.5</v>
      </c>
      <c r="C2747" s="11">
        <f t="shared" si="168"/>
        <v>7.4999999999999997E-2</v>
      </c>
      <c r="D2747">
        <f t="shared" si="169"/>
        <v>2023</v>
      </c>
      <c r="E2747" t="str">
        <f t="shared" si="170"/>
        <v>Nov-2023</v>
      </c>
      <c r="F2747" s="12">
        <f t="shared" si="171"/>
        <v>6.36</v>
      </c>
    </row>
    <row r="2748" spans="1:6" x14ac:dyDescent="0.25">
      <c r="A2748" s="1">
        <v>45246</v>
      </c>
      <c r="B2748">
        <v>7.44</v>
      </c>
      <c r="C2748" s="11">
        <f t="shared" si="168"/>
        <v>7.4400000000000008E-2</v>
      </c>
      <c r="D2748">
        <f t="shared" si="169"/>
        <v>2023</v>
      </c>
      <c r="E2748" t="str">
        <f t="shared" si="170"/>
        <v>Nov-2023</v>
      </c>
      <c r="F2748" s="12">
        <f t="shared" si="171"/>
        <v>6.36</v>
      </c>
    </row>
    <row r="2749" spans="1:6" x14ac:dyDescent="0.25">
      <c r="A2749" s="1">
        <v>45252</v>
      </c>
      <c r="B2749">
        <v>7.29</v>
      </c>
      <c r="C2749" s="11">
        <f t="shared" si="168"/>
        <v>7.2900000000000006E-2</v>
      </c>
      <c r="D2749">
        <f t="shared" si="169"/>
        <v>2023</v>
      </c>
      <c r="E2749" t="str">
        <f t="shared" si="170"/>
        <v>Nov-2023</v>
      </c>
      <c r="F2749" s="12">
        <f t="shared" si="171"/>
        <v>6.36</v>
      </c>
    </row>
    <row r="2750" spans="1:6" x14ac:dyDescent="0.25">
      <c r="A2750" s="1">
        <v>45260</v>
      </c>
      <c r="B2750">
        <v>7.22</v>
      </c>
      <c r="C2750" s="11">
        <f t="shared" si="168"/>
        <v>7.22E-2</v>
      </c>
      <c r="D2750">
        <f t="shared" si="169"/>
        <v>2023</v>
      </c>
      <c r="E2750" t="str">
        <f t="shared" si="170"/>
        <v>Nov-2023</v>
      </c>
      <c r="F2750" s="12">
        <f t="shared" si="171"/>
        <v>6.36</v>
      </c>
    </row>
    <row r="2751" spans="1:6" x14ac:dyDescent="0.25">
      <c r="A2751" s="1">
        <v>45267</v>
      </c>
      <c r="B2751">
        <v>7.03</v>
      </c>
      <c r="C2751" s="11">
        <f t="shared" si="168"/>
        <v>7.0300000000000001E-2</v>
      </c>
      <c r="D2751">
        <f t="shared" si="169"/>
        <v>2023</v>
      </c>
      <c r="E2751" t="str">
        <f t="shared" si="170"/>
        <v>Dec-2023</v>
      </c>
      <c r="F2751" s="12">
        <f t="shared" si="171"/>
        <v>6.36</v>
      </c>
    </row>
    <row r="2752" spans="1:6" x14ac:dyDescent="0.25">
      <c r="A2752" s="1">
        <v>45274</v>
      </c>
      <c r="B2752">
        <v>6.95</v>
      </c>
      <c r="C2752" s="11">
        <f t="shared" si="168"/>
        <v>6.9500000000000006E-2</v>
      </c>
      <c r="D2752">
        <f t="shared" si="169"/>
        <v>2023</v>
      </c>
      <c r="E2752" t="str">
        <f t="shared" si="170"/>
        <v>Dec-2023</v>
      </c>
      <c r="F2752" s="12">
        <f t="shared" si="171"/>
        <v>6.36</v>
      </c>
    </row>
    <row r="2753" spans="1:6" x14ac:dyDescent="0.25">
      <c r="A2753" s="1">
        <v>45281</v>
      </c>
      <c r="B2753">
        <v>6.67</v>
      </c>
      <c r="C2753" s="11">
        <f t="shared" si="168"/>
        <v>6.6699999999999995E-2</v>
      </c>
      <c r="D2753">
        <f t="shared" si="169"/>
        <v>2023</v>
      </c>
      <c r="E2753" t="str">
        <f t="shared" si="170"/>
        <v>Dec-2023</v>
      </c>
      <c r="F2753" s="12">
        <f t="shared" si="171"/>
        <v>6.36</v>
      </c>
    </row>
    <row r="2754" spans="1:6" x14ac:dyDescent="0.25">
      <c r="A2754" s="1">
        <v>45288</v>
      </c>
      <c r="B2754">
        <v>6.61</v>
      </c>
      <c r="C2754" s="11">
        <f t="shared" ref="C2754:C2817" si="172">B2754/100</f>
        <v>6.6100000000000006E-2</v>
      </c>
      <c r="D2754">
        <f t="shared" ref="D2754:D2817" si="173">YEAR(A2754)</f>
        <v>2023</v>
      </c>
      <c r="E2754" t="str">
        <f t="shared" ref="E2754:E2817" si="174">TEXT(A2754,"MMM-YYYY")</f>
        <v>Dec-2023</v>
      </c>
      <c r="F2754" s="12">
        <f t="shared" ref="F2754:F2817" si="175">$H$2</f>
        <v>6.36</v>
      </c>
    </row>
    <row r="2755" spans="1:6" x14ac:dyDescent="0.25">
      <c r="A2755" s="1">
        <v>45295</v>
      </c>
      <c r="B2755">
        <v>6.62</v>
      </c>
      <c r="C2755" s="11">
        <f t="shared" si="172"/>
        <v>6.6199999999999995E-2</v>
      </c>
      <c r="D2755">
        <f t="shared" si="173"/>
        <v>2024</v>
      </c>
      <c r="E2755" t="str">
        <f t="shared" si="174"/>
        <v>Jan-2024</v>
      </c>
      <c r="F2755" s="12">
        <f t="shared" si="175"/>
        <v>6.36</v>
      </c>
    </row>
    <row r="2756" spans="1:6" x14ac:dyDescent="0.25">
      <c r="A2756" s="1">
        <v>45302</v>
      </c>
      <c r="B2756">
        <v>6.66</v>
      </c>
      <c r="C2756" s="11">
        <f t="shared" si="172"/>
        <v>6.6600000000000006E-2</v>
      </c>
      <c r="D2756">
        <f t="shared" si="173"/>
        <v>2024</v>
      </c>
      <c r="E2756" t="str">
        <f t="shared" si="174"/>
        <v>Jan-2024</v>
      </c>
      <c r="F2756" s="12">
        <f t="shared" si="175"/>
        <v>6.36</v>
      </c>
    </row>
    <row r="2757" spans="1:6" x14ac:dyDescent="0.25">
      <c r="A2757" s="1">
        <v>45309</v>
      </c>
      <c r="B2757">
        <v>6.6</v>
      </c>
      <c r="C2757" s="11">
        <f t="shared" si="172"/>
        <v>6.6000000000000003E-2</v>
      </c>
      <c r="D2757">
        <f t="shared" si="173"/>
        <v>2024</v>
      </c>
      <c r="E2757" t="str">
        <f t="shared" si="174"/>
        <v>Jan-2024</v>
      </c>
      <c r="F2757" s="12">
        <f t="shared" si="175"/>
        <v>6.36</v>
      </c>
    </row>
    <row r="2758" spans="1:6" x14ac:dyDescent="0.25">
      <c r="A2758" s="1">
        <v>45316</v>
      </c>
      <c r="B2758">
        <v>6.69</v>
      </c>
      <c r="C2758" s="11">
        <f t="shared" si="172"/>
        <v>6.6900000000000001E-2</v>
      </c>
      <c r="D2758">
        <f t="shared" si="173"/>
        <v>2024</v>
      </c>
      <c r="E2758" t="str">
        <f t="shared" si="174"/>
        <v>Jan-2024</v>
      </c>
      <c r="F2758" s="12">
        <f t="shared" si="175"/>
        <v>6.36</v>
      </c>
    </row>
    <row r="2759" spans="1:6" x14ac:dyDescent="0.25">
      <c r="A2759" s="1">
        <v>45323</v>
      </c>
      <c r="B2759">
        <v>6.63</v>
      </c>
      <c r="C2759" s="11">
        <f t="shared" si="172"/>
        <v>6.6299999999999998E-2</v>
      </c>
      <c r="D2759">
        <f t="shared" si="173"/>
        <v>2024</v>
      </c>
      <c r="E2759" t="str">
        <f t="shared" si="174"/>
        <v>Feb-2024</v>
      </c>
      <c r="F2759" s="12">
        <f t="shared" si="175"/>
        <v>6.36</v>
      </c>
    </row>
    <row r="2760" spans="1:6" x14ac:dyDescent="0.25">
      <c r="A2760" s="1">
        <v>45330</v>
      </c>
      <c r="B2760">
        <v>6.64</v>
      </c>
      <c r="C2760" s="11">
        <f t="shared" si="172"/>
        <v>6.6400000000000001E-2</v>
      </c>
      <c r="D2760">
        <f t="shared" si="173"/>
        <v>2024</v>
      </c>
      <c r="E2760" t="str">
        <f t="shared" si="174"/>
        <v>Feb-2024</v>
      </c>
      <c r="F2760" s="12">
        <f t="shared" si="175"/>
        <v>6.36</v>
      </c>
    </row>
    <row r="2761" spans="1:6" x14ac:dyDescent="0.25">
      <c r="A2761" s="1">
        <v>45337</v>
      </c>
      <c r="B2761">
        <v>6.77</v>
      </c>
      <c r="C2761" s="11">
        <f t="shared" si="172"/>
        <v>6.7699999999999996E-2</v>
      </c>
      <c r="D2761">
        <f t="shared" si="173"/>
        <v>2024</v>
      </c>
      <c r="E2761" t="str">
        <f t="shared" si="174"/>
        <v>Feb-2024</v>
      </c>
      <c r="F2761" s="12">
        <f t="shared" si="175"/>
        <v>6.36</v>
      </c>
    </row>
    <row r="2762" spans="1:6" x14ac:dyDescent="0.25">
      <c r="A2762" s="1">
        <v>45344</v>
      </c>
      <c r="B2762">
        <v>6.9</v>
      </c>
      <c r="C2762" s="11">
        <f t="shared" si="172"/>
        <v>6.9000000000000006E-2</v>
      </c>
      <c r="D2762">
        <f t="shared" si="173"/>
        <v>2024</v>
      </c>
      <c r="E2762" t="str">
        <f t="shared" si="174"/>
        <v>Feb-2024</v>
      </c>
      <c r="F2762" s="12">
        <f t="shared" si="175"/>
        <v>6.36</v>
      </c>
    </row>
    <row r="2763" spans="1:6" x14ac:dyDescent="0.25">
      <c r="A2763" s="1">
        <v>45351</v>
      </c>
      <c r="B2763">
        <v>6.94</v>
      </c>
      <c r="C2763" s="11">
        <f t="shared" si="172"/>
        <v>6.9400000000000003E-2</v>
      </c>
      <c r="D2763">
        <f t="shared" si="173"/>
        <v>2024</v>
      </c>
      <c r="E2763" t="str">
        <f t="shared" si="174"/>
        <v>Feb-2024</v>
      </c>
      <c r="F2763" s="12">
        <f t="shared" si="175"/>
        <v>6.36</v>
      </c>
    </row>
    <row r="2764" spans="1:6" x14ac:dyDescent="0.25">
      <c r="A2764" s="1">
        <v>45358</v>
      </c>
      <c r="B2764">
        <v>6.88</v>
      </c>
      <c r="C2764" s="11">
        <f t="shared" si="172"/>
        <v>6.88E-2</v>
      </c>
      <c r="D2764">
        <f t="shared" si="173"/>
        <v>2024</v>
      </c>
      <c r="E2764" t="str">
        <f t="shared" si="174"/>
        <v>Mar-2024</v>
      </c>
      <c r="F2764" s="12">
        <f t="shared" si="175"/>
        <v>6.36</v>
      </c>
    </row>
    <row r="2765" spans="1:6" x14ac:dyDescent="0.25">
      <c r="A2765" s="1">
        <v>45365</v>
      </c>
      <c r="B2765">
        <v>6.74</v>
      </c>
      <c r="C2765" s="11">
        <f t="shared" si="172"/>
        <v>6.7400000000000002E-2</v>
      </c>
      <c r="D2765">
        <f t="shared" si="173"/>
        <v>2024</v>
      </c>
      <c r="E2765" t="str">
        <f t="shared" si="174"/>
        <v>Mar-2024</v>
      </c>
      <c r="F2765" s="12">
        <f t="shared" si="175"/>
        <v>6.36</v>
      </c>
    </row>
    <row r="2766" spans="1:6" x14ac:dyDescent="0.25">
      <c r="A2766" s="1">
        <v>45372</v>
      </c>
      <c r="B2766">
        <v>6.87</v>
      </c>
      <c r="C2766" s="11">
        <f t="shared" si="172"/>
        <v>6.8699999999999997E-2</v>
      </c>
      <c r="D2766">
        <f t="shared" si="173"/>
        <v>2024</v>
      </c>
      <c r="E2766" t="str">
        <f t="shared" si="174"/>
        <v>Mar-2024</v>
      </c>
      <c r="F2766" s="12">
        <f t="shared" si="175"/>
        <v>6.36</v>
      </c>
    </row>
    <row r="2767" spans="1:6" x14ac:dyDescent="0.25">
      <c r="A2767" s="1">
        <v>45379</v>
      </c>
      <c r="B2767">
        <v>6.79</v>
      </c>
      <c r="C2767" s="11">
        <f t="shared" si="172"/>
        <v>6.7900000000000002E-2</v>
      </c>
      <c r="D2767">
        <f t="shared" si="173"/>
        <v>2024</v>
      </c>
      <c r="E2767" t="str">
        <f t="shared" si="174"/>
        <v>Mar-2024</v>
      </c>
      <c r="F2767" s="12">
        <f t="shared" si="175"/>
        <v>6.36</v>
      </c>
    </row>
    <row r="2768" spans="1:6" x14ac:dyDescent="0.25">
      <c r="A2768" s="1">
        <v>45386</v>
      </c>
      <c r="B2768">
        <v>6.82</v>
      </c>
      <c r="C2768" s="11">
        <f t="shared" si="172"/>
        <v>6.8199999999999997E-2</v>
      </c>
      <c r="D2768">
        <f t="shared" si="173"/>
        <v>2024</v>
      </c>
      <c r="E2768" t="str">
        <f t="shared" si="174"/>
        <v>Apr-2024</v>
      </c>
      <c r="F2768" s="12">
        <f t="shared" si="175"/>
        <v>6.36</v>
      </c>
    </row>
    <row r="2769" spans="1:6" x14ac:dyDescent="0.25">
      <c r="A2769" s="1">
        <v>45393</v>
      </c>
      <c r="B2769">
        <v>6.88</v>
      </c>
      <c r="C2769" s="11">
        <f t="shared" si="172"/>
        <v>6.88E-2</v>
      </c>
      <c r="D2769">
        <f t="shared" si="173"/>
        <v>2024</v>
      </c>
      <c r="E2769" t="str">
        <f t="shared" si="174"/>
        <v>Apr-2024</v>
      </c>
      <c r="F2769" s="12">
        <f t="shared" si="175"/>
        <v>6.36</v>
      </c>
    </row>
    <row r="2770" spans="1:6" x14ac:dyDescent="0.25">
      <c r="A2770" s="1">
        <v>45400</v>
      </c>
      <c r="B2770">
        <v>7.1</v>
      </c>
      <c r="C2770" s="11">
        <f t="shared" si="172"/>
        <v>7.0999999999999994E-2</v>
      </c>
      <c r="D2770">
        <f t="shared" si="173"/>
        <v>2024</v>
      </c>
      <c r="E2770" t="str">
        <f t="shared" si="174"/>
        <v>Apr-2024</v>
      </c>
      <c r="F2770" s="12">
        <f t="shared" si="175"/>
        <v>6.36</v>
      </c>
    </row>
    <row r="2771" spans="1:6" x14ac:dyDescent="0.25">
      <c r="A2771" s="1">
        <v>45407</v>
      </c>
      <c r="B2771">
        <v>7.17</v>
      </c>
      <c r="C2771" s="11">
        <f t="shared" si="172"/>
        <v>7.17E-2</v>
      </c>
      <c r="D2771">
        <f t="shared" si="173"/>
        <v>2024</v>
      </c>
      <c r="E2771" t="str">
        <f t="shared" si="174"/>
        <v>Apr-2024</v>
      </c>
      <c r="F2771" s="12">
        <f t="shared" si="175"/>
        <v>6.36</v>
      </c>
    </row>
    <row r="2772" spans="1:6" x14ac:dyDescent="0.25">
      <c r="A2772" s="1">
        <v>45414</v>
      </c>
      <c r="B2772">
        <v>7.22</v>
      </c>
      <c r="C2772" s="11">
        <f t="shared" si="172"/>
        <v>7.22E-2</v>
      </c>
      <c r="D2772">
        <f t="shared" si="173"/>
        <v>2024</v>
      </c>
      <c r="E2772" t="str">
        <f t="shared" si="174"/>
        <v>May-2024</v>
      </c>
      <c r="F2772" s="12">
        <f t="shared" si="175"/>
        <v>6.36</v>
      </c>
    </row>
    <row r="2773" spans="1:6" x14ac:dyDescent="0.25">
      <c r="A2773" s="1">
        <v>45421</v>
      </c>
      <c r="B2773">
        <v>7.09</v>
      </c>
      <c r="C2773" s="11">
        <f t="shared" si="172"/>
        <v>7.0900000000000005E-2</v>
      </c>
      <c r="D2773">
        <f t="shared" si="173"/>
        <v>2024</v>
      </c>
      <c r="E2773" t="str">
        <f t="shared" si="174"/>
        <v>May-2024</v>
      </c>
      <c r="F2773" s="12">
        <f t="shared" si="175"/>
        <v>6.36</v>
      </c>
    </row>
    <row r="2774" spans="1:6" x14ac:dyDescent="0.25">
      <c r="A2774" s="1">
        <v>45428</v>
      </c>
      <c r="B2774">
        <v>7.02</v>
      </c>
      <c r="C2774" s="11">
        <f t="shared" si="172"/>
        <v>7.0199999999999999E-2</v>
      </c>
      <c r="D2774">
        <f t="shared" si="173"/>
        <v>2024</v>
      </c>
      <c r="E2774" t="str">
        <f t="shared" si="174"/>
        <v>May-2024</v>
      </c>
      <c r="F2774" s="12">
        <f t="shared" si="175"/>
        <v>6.36</v>
      </c>
    </row>
    <row r="2775" spans="1:6" x14ac:dyDescent="0.25">
      <c r="A2775" s="1">
        <v>45435</v>
      </c>
      <c r="B2775">
        <v>6.94</v>
      </c>
      <c r="C2775" s="11">
        <f t="shared" si="172"/>
        <v>6.9400000000000003E-2</v>
      </c>
      <c r="D2775">
        <f t="shared" si="173"/>
        <v>2024</v>
      </c>
      <c r="E2775" t="str">
        <f t="shared" si="174"/>
        <v>May-2024</v>
      </c>
      <c r="F2775" s="12">
        <f t="shared" si="175"/>
        <v>6.36</v>
      </c>
    </row>
    <row r="2776" spans="1:6" x14ac:dyDescent="0.25">
      <c r="A2776" s="1">
        <v>45442</v>
      </c>
      <c r="B2776">
        <v>7.03</v>
      </c>
      <c r="C2776" s="11">
        <f t="shared" si="172"/>
        <v>7.0300000000000001E-2</v>
      </c>
      <c r="D2776">
        <f t="shared" si="173"/>
        <v>2024</v>
      </c>
      <c r="E2776" t="str">
        <f t="shared" si="174"/>
        <v>May-2024</v>
      </c>
      <c r="F2776" s="12">
        <f t="shared" si="175"/>
        <v>6.36</v>
      </c>
    </row>
    <row r="2777" spans="1:6" x14ac:dyDescent="0.25">
      <c r="A2777" s="1">
        <v>45449</v>
      </c>
      <c r="B2777">
        <v>6.99</v>
      </c>
      <c r="C2777" s="11">
        <f t="shared" si="172"/>
        <v>6.9900000000000004E-2</v>
      </c>
      <c r="D2777">
        <f t="shared" si="173"/>
        <v>2024</v>
      </c>
      <c r="E2777" t="str">
        <f t="shared" si="174"/>
        <v>Jun-2024</v>
      </c>
      <c r="F2777" s="12">
        <f t="shared" si="175"/>
        <v>6.36</v>
      </c>
    </row>
    <row r="2778" spans="1:6" x14ac:dyDescent="0.25">
      <c r="A2778" s="1">
        <v>45456</v>
      </c>
      <c r="B2778">
        <v>6.95</v>
      </c>
      <c r="C2778" s="11">
        <f t="shared" si="172"/>
        <v>6.9500000000000006E-2</v>
      </c>
      <c r="D2778">
        <f t="shared" si="173"/>
        <v>2024</v>
      </c>
      <c r="E2778" t="str">
        <f t="shared" si="174"/>
        <v>Jun-2024</v>
      </c>
      <c r="F2778" s="12">
        <f t="shared" si="175"/>
        <v>6.36</v>
      </c>
    </row>
    <row r="2779" spans="1:6" x14ac:dyDescent="0.25">
      <c r="A2779" s="1">
        <v>45463</v>
      </c>
      <c r="B2779">
        <v>6.87</v>
      </c>
      <c r="C2779" s="11">
        <f t="shared" si="172"/>
        <v>6.8699999999999997E-2</v>
      </c>
      <c r="D2779">
        <f t="shared" si="173"/>
        <v>2024</v>
      </c>
      <c r="E2779" t="str">
        <f t="shared" si="174"/>
        <v>Jun-2024</v>
      </c>
      <c r="F2779" s="12">
        <f t="shared" si="175"/>
        <v>6.36</v>
      </c>
    </row>
    <row r="2780" spans="1:6" x14ac:dyDescent="0.25">
      <c r="A2780" s="1">
        <v>45470</v>
      </c>
      <c r="B2780">
        <v>6.86</v>
      </c>
      <c r="C2780" s="11">
        <f t="shared" si="172"/>
        <v>6.8600000000000008E-2</v>
      </c>
      <c r="D2780">
        <f t="shared" si="173"/>
        <v>2024</v>
      </c>
      <c r="E2780" t="str">
        <f t="shared" si="174"/>
        <v>Jun-2024</v>
      </c>
      <c r="F2780" s="12">
        <f t="shared" si="175"/>
        <v>6.36</v>
      </c>
    </row>
    <row r="2781" spans="1:6" x14ac:dyDescent="0.25">
      <c r="A2781" s="1">
        <v>45476</v>
      </c>
      <c r="B2781">
        <v>6.95</v>
      </c>
      <c r="C2781" s="11">
        <f t="shared" si="172"/>
        <v>6.9500000000000006E-2</v>
      </c>
      <c r="D2781">
        <f t="shared" si="173"/>
        <v>2024</v>
      </c>
      <c r="E2781" t="str">
        <f t="shared" si="174"/>
        <v>Jul-2024</v>
      </c>
      <c r="F2781" s="12">
        <f t="shared" si="175"/>
        <v>6.36</v>
      </c>
    </row>
    <row r="2782" spans="1:6" x14ac:dyDescent="0.25">
      <c r="A2782" s="1">
        <v>45484</v>
      </c>
      <c r="B2782">
        <v>6.89</v>
      </c>
      <c r="C2782" s="11">
        <f t="shared" si="172"/>
        <v>6.8900000000000003E-2</v>
      </c>
      <c r="D2782">
        <f t="shared" si="173"/>
        <v>2024</v>
      </c>
      <c r="E2782" t="str">
        <f t="shared" si="174"/>
        <v>Jul-2024</v>
      </c>
      <c r="F2782" s="12">
        <f t="shared" si="175"/>
        <v>6.36</v>
      </c>
    </row>
    <row r="2783" spans="1:6" x14ac:dyDescent="0.25">
      <c r="A2783" s="1">
        <v>45491</v>
      </c>
      <c r="B2783">
        <v>6.77</v>
      </c>
      <c r="C2783" s="11">
        <f t="shared" si="172"/>
        <v>6.7699999999999996E-2</v>
      </c>
      <c r="D2783">
        <f t="shared" si="173"/>
        <v>2024</v>
      </c>
      <c r="E2783" t="str">
        <f t="shared" si="174"/>
        <v>Jul-2024</v>
      </c>
      <c r="F2783" s="12">
        <f t="shared" si="175"/>
        <v>6.36</v>
      </c>
    </row>
    <row r="2784" spans="1:6" x14ac:dyDescent="0.25">
      <c r="A2784" s="1">
        <v>45498</v>
      </c>
      <c r="B2784">
        <v>6.78</v>
      </c>
      <c r="C2784" s="11">
        <f t="shared" si="172"/>
        <v>6.7799999999999999E-2</v>
      </c>
      <c r="D2784">
        <f t="shared" si="173"/>
        <v>2024</v>
      </c>
      <c r="E2784" t="str">
        <f t="shared" si="174"/>
        <v>Jul-2024</v>
      </c>
      <c r="F2784" s="12">
        <f t="shared" si="175"/>
        <v>6.36</v>
      </c>
    </row>
    <row r="2785" spans="1:6" x14ac:dyDescent="0.25">
      <c r="A2785" s="1">
        <v>45505</v>
      </c>
      <c r="B2785">
        <v>6.73</v>
      </c>
      <c r="C2785" s="11">
        <f t="shared" si="172"/>
        <v>6.7299999999999999E-2</v>
      </c>
      <c r="D2785">
        <f t="shared" si="173"/>
        <v>2024</v>
      </c>
      <c r="E2785" t="str">
        <f t="shared" si="174"/>
        <v>Aug-2024</v>
      </c>
      <c r="F2785" s="12">
        <f t="shared" si="175"/>
        <v>6.36</v>
      </c>
    </row>
    <row r="2786" spans="1:6" x14ac:dyDescent="0.25">
      <c r="A2786" s="1">
        <v>45512</v>
      </c>
      <c r="B2786">
        <v>6.47</v>
      </c>
      <c r="C2786" s="11">
        <f t="shared" si="172"/>
        <v>6.4699999999999994E-2</v>
      </c>
      <c r="D2786">
        <f t="shared" si="173"/>
        <v>2024</v>
      </c>
      <c r="E2786" t="str">
        <f t="shared" si="174"/>
        <v>Aug-2024</v>
      </c>
      <c r="F2786" s="12">
        <f t="shared" si="175"/>
        <v>6.36</v>
      </c>
    </row>
    <row r="2787" spans="1:6" x14ac:dyDescent="0.25">
      <c r="A2787" s="1">
        <v>45519</v>
      </c>
      <c r="B2787">
        <v>6.49</v>
      </c>
      <c r="C2787" s="11">
        <f t="shared" si="172"/>
        <v>6.4899999999999999E-2</v>
      </c>
      <c r="D2787">
        <f t="shared" si="173"/>
        <v>2024</v>
      </c>
      <c r="E2787" t="str">
        <f t="shared" si="174"/>
        <v>Aug-2024</v>
      </c>
      <c r="F2787" s="12">
        <f t="shared" si="175"/>
        <v>6.36</v>
      </c>
    </row>
    <row r="2788" spans="1:6" x14ac:dyDescent="0.25">
      <c r="A2788" s="1">
        <v>45526</v>
      </c>
      <c r="B2788">
        <v>6.46</v>
      </c>
      <c r="C2788" s="11">
        <f t="shared" si="172"/>
        <v>6.4600000000000005E-2</v>
      </c>
      <c r="D2788">
        <f t="shared" si="173"/>
        <v>2024</v>
      </c>
      <c r="E2788" t="str">
        <f t="shared" si="174"/>
        <v>Aug-2024</v>
      </c>
      <c r="F2788" s="12">
        <f t="shared" si="175"/>
        <v>6.36</v>
      </c>
    </row>
    <row r="2789" spans="1:6" x14ac:dyDescent="0.25">
      <c r="A2789" s="1">
        <v>45533</v>
      </c>
      <c r="B2789">
        <v>6.35</v>
      </c>
      <c r="C2789" s="11">
        <f t="shared" si="172"/>
        <v>6.3500000000000001E-2</v>
      </c>
      <c r="D2789">
        <f t="shared" si="173"/>
        <v>2024</v>
      </c>
      <c r="E2789" t="str">
        <f t="shared" si="174"/>
        <v>Aug-2024</v>
      </c>
      <c r="F2789" s="12">
        <f t="shared" si="175"/>
        <v>6.36</v>
      </c>
    </row>
    <row r="2790" spans="1:6" x14ac:dyDescent="0.25">
      <c r="A2790" s="1">
        <v>45540</v>
      </c>
      <c r="B2790">
        <v>6.35</v>
      </c>
      <c r="C2790" s="11">
        <f t="shared" si="172"/>
        <v>6.3500000000000001E-2</v>
      </c>
      <c r="D2790">
        <f t="shared" si="173"/>
        <v>2024</v>
      </c>
      <c r="E2790" t="str">
        <f t="shared" si="174"/>
        <v>Sep-2024</v>
      </c>
      <c r="F2790" s="12">
        <f t="shared" si="175"/>
        <v>6.36</v>
      </c>
    </row>
    <row r="2791" spans="1:6" x14ac:dyDescent="0.25">
      <c r="A2791" s="1">
        <v>45547</v>
      </c>
      <c r="B2791">
        <v>6.2</v>
      </c>
      <c r="C2791" s="11">
        <f t="shared" si="172"/>
        <v>6.2E-2</v>
      </c>
      <c r="D2791">
        <f t="shared" si="173"/>
        <v>2024</v>
      </c>
      <c r="E2791" t="str">
        <f t="shared" si="174"/>
        <v>Sep-2024</v>
      </c>
      <c r="F2791" s="12">
        <f t="shared" si="175"/>
        <v>6.36</v>
      </c>
    </row>
    <row r="2792" spans="1:6" x14ac:dyDescent="0.25">
      <c r="A2792" s="1">
        <v>45554</v>
      </c>
      <c r="B2792">
        <v>6.09</v>
      </c>
      <c r="C2792" s="11">
        <f t="shared" si="172"/>
        <v>6.0899999999999996E-2</v>
      </c>
      <c r="D2792">
        <f t="shared" si="173"/>
        <v>2024</v>
      </c>
      <c r="E2792" t="str">
        <f t="shared" si="174"/>
        <v>Sep-2024</v>
      </c>
      <c r="F2792" s="12">
        <f t="shared" si="175"/>
        <v>6.36</v>
      </c>
    </row>
    <row r="2793" spans="1:6" x14ac:dyDescent="0.25">
      <c r="A2793" s="1">
        <v>45561</v>
      </c>
      <c r="B2793">
        <v>6.08</v>
      </c>
      <c r="C2793" s="11">
        <f t="shared" si="172"/>
        <v>6.08E-2</v>
      </c>
      <c r="D2793">
        <f t="shared" si="173"/>
        <v>2024</v>
      </c>
      <c r="E2793" t="str">
        <f t="shared" si="174"/>
        <v>Sep-2024</v>
      </c>
      <c r="F2793" s="12">
        <f t="shared" si="175"/>
        <v>6.36</v>
      </c>
    </row>
    <row r="2794" spans="1:6" x14ac:dyDescent="0.25">
      <c r="A2794" s="1">
        <v>45568</v>
      </c>
      <c r="B2794">
        <v>6.12</v>
      </c>
      <c r="C2794" s="11">
        <f t="shared" si="172"/>
        <v>6.1200000000000004E-2</v>
      </c>
      <c r="D2794">
        <f t="shared" si="173"/>
        <v>2024</v>
      </c>
      <c r="E2794" t="str">
        <f t="shared" si="174"/>
        <v>Oct-2024</v>
      </c>
      <c r="F2794" s="12">
        <f t="shared" si="175"/>
        <v>6.36</v>
      </c>
    </row>
    <row r="2795" spans="1:6" x14ac:dyDescent="0.25">
      <c r="A2795" s="1">
        <v>45575</v>
      </c>
      <c r="B2795">
        <v>6.32</v>
      </c>
      <c r="C2795" s="11">
        <f t="shared" si="172"/>
        <v>6.3200000000000006E-2</v>
      </c>
      <c r="D2795">
        <f t="shared" si="173"/>
        <v>2024</v>
      </c>
      <c r="E2795" t="str">
        <f t="shared" si="174"/>
        <v>Oct-2024</v>
      </c>
      <c r="F2795" s="12">
        <f t="shared" si="175"/>
        <v>6.36</v>
      </c>
    </row>
    <row r="2796" spans="1:6" x14ac:dyDescent="0.25">
      <c r="A2796" s="1">
        <v>45582</v>
      </c>
      <c r="B2796">
        <v>6.44</v>
      </c>
      <c r="C2796" s="11">
        <f t="shared" si="172"/>
        <v>6.4399999999999999E-2</v>
      </c>
      <c r="D2796">
        <f t="shared" si="173"/>
        <v>2024</v>
      </c>
      <c r="E2796" t="str">
        <f t="shared" si="174"/>
        <v>Oct-2024</v>
      </c>
      <c r="F2796" s="12">
        <f t="shared" si="175"/>
        <v>6.36</v>
      </c>
    </row>
    <row r="2797" spans="1:6" x14ac:dyDescent="0.25">
      <c r="A2797" s="1">
        <v>45589</v>
      </c>
      <c r="B2797">
        <v>6.54</v>
      </c>
      <c r="C2797" s="11">
        <f t="shared" si="172"/>
        <v>6.54E-2</v>
      </c>
      <c r="D2797">
        <f t="shared" si="173"/>
        <v>2024</v>
      </c>
      <c r="E2797" t="str">
        <f t="shared" si="174"/>
        <v>Oct-2024</v>
      </c>
      <c r="F2797" s="12">
        <f t="shared" si="175"/>
        <v>6.36</v>
      </c>
    </row>
    <row r="2798" spans="1:6" x14ac:dyDescent="0.25">
      <c r="A2798" s="1">
        <v>45596</v>
      </c>
      <c r="B2798">
        <v>6.72</v>
      </c>
      <c r="C2798" s="11">
        <f t="shared" si="172"/>
        <v>6.7199999999999996E-2</v>
      </c>
      <c r="D2798">
        <f t="shared" si="173"/>
        <v>2024</v>
      </c>
      <c r="E2798" t="str">
        <f t="shared" si="174"/>
        <v>Oct-2024</v>
      </c>
      <c r="F2798" s="12">
        <f t="shared" si="175"/>
        <v>6.36</v>
      </c>
    </row>
    <row r="2799" spans="1:6" x14ac:dyDescent="0.25">
      <c r="A2799" s="1">
        <v>45603</v>
      </c>
      <c r="B2799">
        <v>6.79</v>
      </c>
      <c r="C2799" s="11">
        <f t="shared" si="172"/>
        <v>6.7900000000000002E-2</v>
      </c>
      <c r="D2799">
        <f t="shared" si="173"/>
        <v>2024</v>
      </c>
      <c r="E2799" t="str">
        <f t="shared" si="174"/>
        <v>Nov-2024</v>
      </c>
      <c r="F2799" s="12">
        <f t="shared" si="175"/>
        <v>6.36</v>
      </c>
    </row>
    <row r="2800" spans="1:6" x14ac:dyDescent="0.25">
      <c r="A2800" s="1">
        <v>45610</v>
      </c>
      <c r="B2800">
        <v>6.78</v>
      </c>
      <c r="C2800" s="11">
        <f t="shared" si="172"/>
        <v>6.7799999999999999E-2</v>
      </c>
      <c r="D2800">
        <f t="shared" si="173"/>
        <v>2024</v>
      </c>
      <c r="E2800" t="str">
        <f t="shared" si="174"/>
        <v>Nov-2024</v>
      </c>
      <c r="F2800" s="12">
        <f t="shared" si="175"/>
        <v>6.36</v>
      </c>
    </row>
    <row r="2801" spans="1:6" x14ac:dyDescent="0.25">
      <c r="A2801" s="1">
        <v>45617</v>
      </c>
      <c r="B2801">
        <v>6.84</v>
      </c>
      <c r="C2801" s="11">
        <f t="shared" si="172"/>
        <v>6.8400000000000002E-2</v>
      </c>
      <c r="D2801">
        <f t="shared" si="173"/>
        <v>2024</v>
      </c>
      <c r="E2801" t="str">
        <f t="shared" si="174"/>
        <v>Nov-2024</v>
      </c>
      <c r="F2801" s="12">
        <f t="shared" si="175"/>
        <v>6.36</v>
      </c>
    </row>
    <row r="2802" spans="1:6" x14ac:dyDescent="0.25">
      <c r="A2802" s="1">
        <v>45623</v>
      </c>
      <c r="B2802">
        <v>6.81</v>
      </c>
      <c r="C2802" s="11">
        <f t="shared" si="172"/>
        <v>6.8099999999999994E-2</v>
      </c>
      <c r="D2802">
        <f t="shared" si="173"/>
        <v>2024</v>
      </c>
      <c r="E2802" t="str">
        <f t="shared" si="174"/>
        <v>Nov-2024</v>
      </c>
      <c r="F2802" s="12">
        <f t="shared" si="175"/>
        <v>6.36</v>
      </c>
    </row>
    <row r="2803" spans="1:6" x14ac:dyDescent="0.25">
      <c r="A2803" s="1">
        <v>45631</v>
      </c>
      <c r="B2803">
        <v>6.69</v>
      </c>
      <c r="C2803" s="11">
        <f t="shared" si="172"/>
        <v>6.6900000000000001E-2</v>
      </c>
      <c r="D2803">
        <f t="shared" si="173"/>
        <v>2024</v>
      </c>
      <c r="E2803" t="str">
        <f t="shared" si="174"/>
        <v>Dec-2024</v>
      </c>
      <c r="F2803" s="12">
        <f t="shared" si="175"/>
        <v>6.36</v>
      </c>
    </row>
    <row r="2804" spans="1:6" x14ac:dyDescent="0.25">
      <c r="A2804" s="1">
        <v>45638</v>
      </c>
      <c r="B2804">
        <v>6.6</v>
      </c>
      <c r="C2804" s="11">
        <f t="shared" si="172"/>
        <v>6.6000000000000003E-2</v>
      </c>
      <c r="D2804">
        <f t="shared" si="173"/>
        <v>2024</v>
      </c>
      <c r="E2804" t="str">
        <f t="shared" si="174"/>
        <v>Dec-2024</v>
      </c>
      <c r="F2804" s="12">
        <f t="shared" si="175"/>
        <v>6.36</v>
      </c>
    </row>
    <row r="2805" spans="1:6" x14ac:dyDescent="0.25">
      <c r="A2805" s="1">
        <v>45645</v>
      </c>
      <c r="B2805">
        <v>6.72</v>
      </c>
      <c r="C2805" s="11">
        <f t="shared" si="172"/>
        <v>6.7199999999999996E-2</v>
      </c>
      <c r="D2805">
        <f t="shared" si="173"/>
        <v>2024</v>
      </c>
      <c r="E2805" t="str">
        <f t="shared" si="174"/>
        <v>Dec-2024</v>
      </c>
      <c r="F2805" s="12">
        <f t="shared" si="175"/>
        <v>6.36</v>
      </c>
    </row>
    <row r="2806" spans="1:6" x14ac:dyDescent="0.25">
      <c r="A2806" s="1">
        <v>45652</v>
      </c>
      <c r="B2806">
        <v>6.85</v>
      </c>
      <c r="C2806" s="11">
        <f t="shared" si="172"/>
        <v>6.8499999999999991E-2</v>
      </c>
      <c r="D2806">
        <f t="shared" si="173"/>
        <v>2024</v>
      </c>
      <c r="E2806" t="str">
        <f t="shared" si="174"/>
        <v>Dec-2024</v>
      </c>
      <c r="F2806" s="12">
        <f t="shared" si="175"/>
        <v>6.36</v>
      </c>
    </row>
    <row r="2807" spans="1:6" x14ac:dyDescent="0.25">
      <c r="A2807" s="1">
        <v>45659</v>
      </c>
      <c r="B2807">
        <v>6.91</v>
      </c>
      <c r="C2807" s="11">
        <f t="shared" si="172"/>
        <v>6.9099999999999995E-2</v>
      </c>
      <c r="D2807">
        <f t="shared" si="173"/>
        <v>2025</v>
      </c>
      <c r="E2807" t="str">
        <f t="shared" si="174"/>
        <v>Jan-2025</v>
      </c>
      <c r="F2807" s="12">
        <f t="shared" si="175"/>
        <v>6.36</v>
      </c>
    </row>
    <row r="2808" spans="1:6" x14ac:dyDescent="0.25">
      <c r="A2808" s="1">
        <v>45666</v>
      </c>
      <c r="B2808">
        <v>6.93</v>
      </c>
      <c r="C2808" s="11">
        <f t="shared" si="172"/>
        <v>6.93E-2</v>
      </c>
      <c r="D2808">
        <f t="shared" si="173"/>
        <v>2025</v>
      </c>
      <c r="E2808" t="str">
        <f t="shared" si="174"/>
        <v>Jan-2025</v>
      </c>
      <c r="F2808" s="12">
        <f t="shared" si="175"/>
        <v>6.36</v>
      </c>
    </row>
    <row r="2809" spans="1:6" x14ac:dyDescent="0.25">
      <c r="A2809" s="1">
        <v>45673</v>
      </c>
      <c r="B2809">
        <v>7.04</v>
      </c>
      <c r="C2809" s="11">
        <f t="shared" si="172"/>
        <v>7.0400000000000004E-2</v>
      </c>
      <c r="D2809">
        <f t="shared" si="173"/>
        <v>2025</v>
      </c>
      <c r="E2809" t="str">
        <f t="shared" si="174"/>
        <v>Jan-2025</v>
      </c>
      <c r="F2809" s="12">
        <f t="shared" si="175"/>
        <v>6.36</v>
      </c>
    </row>
    <row r="2810" spans="1:6" x14ac:dyDescent="0.25">
      <c r="A2810" s="1">
        <v>45680</v>
      </c>
      <c r="B2810">
        <v>6.96</v>
      </c>
      <c r="C2810" s="11">
        <f t="shared" si="172"/>
        <v>6.9599999999999995E-2</v>
      </c>
      <c r="D2810">
        <f t="shared" si="173"/>
        <v>2025</v>
      </c>
      <c r="E2810" t="str">
        <f t="shared" si="174"/>
        <v>Jan-2025</v>
      </c>
      <c r="F2810" s="12">
        <f t="shared" si="175"/>
        <v>6.36</v>
      </c>
    </row>
    <row r="2811" spans="1:6" x14ac:dyDescent="0.25">
      <c r="A2811" s="1">
        <v>45687</v>
      </c>
      <c r="B2811">
        <v>6.95</v>
      </c>
      <c r="C2811" s="11">
        <f t="shared" si="172"/>
        <v>6.9500000000000006E-2</v>
      </c>
      <c r="D2811">
        <f t="shared" si="173"/>
        <v>2025</v>
      </c>
      <c r="E2811" t="str">
        <f t="shared" si="174"/>
        <v>Jan-2025</v>
      </c>
      <c r="F2811" s="12">
        <f t="shared" si="175"/>
        <v>6.36</v>
      </c>
    </row>
    <row r="2812" spans="1:6" x14ac:dyDescent="0.25">
      <c r="A2812" s="1">
        <v>45694</v>
      </c>
      <c r="B2812">
        <v>6.89</v>
      </c>
      <c r="C2812" s="11">
        <f t="shared" si="172"/>
        <v>6.8900000000000003E-2</v>
      </c>
      <c r="D2812">
        <f t="shared" si="173"/>
        <v>2025</v>
      </c>
      <c r="E2812" t="str">
        <f t="shared" si="174"/>
        <v>Feb-2025</v>
      </c>
      <c r="F2812" s="12">
        <f t="shared" si="175"/>
        <v>6.36</v>
      </c>
    </row>
    <row r="2813" spans="1:6" x14ac:dyDescent="0.25">
      <c r="A2813" s="1">
        <v>45701</v>
      </c>
      <c r="B2813">
        <v>6.87</v>
      </c>
      <c r="C2813" s="11">
        <f t="shared" si="172"/>
        <v>6.8699999999999997E-2</v>
      </c>
      <c r="D2813">
        <f t="shared" si="173"/>
        <v>2025</v>
      </c>
      <c r="E2813" t="str">
        <f t="shared" si="174"/>
        <v>Feb-2025</v>
      </c>
      <c r="F2813" s="12">
        <f t="shared" si="175"/>
        <v>6.36</v>
      </c>
    </row>
    <row r="2814" spans="1:6" x14ac:dyDescent="0.25">
      <c r="A2814" s="1">
        <v>45708</v>
      </c>
      <c r="B2814">
        <v>6.85</v>
      </c>
      <c r="C2814" s="11">
        <f t="shared" si="172"/>
        <v>6.8499999999999991E-2</v>
      </c>
      <c r="D2814">
        <f t="shared" si="173"/>
        <v>2025</v>
      </c>
      <c r="E2814" t="str">
        <f t="shared" si="174"/>
        <v>Feb-2025</v>
      </c>
      <c r="F2814" s="12">
        <f t="shared" si="175"/>
        <v>6.36</v>
      </c>
    </row>
    <row r="2815" spans="1:6" x14ac:dyDescent="0.25">
      <c r="A2815" s="1">
        <v>45715</v>
      </c>
      <c r="B2815">
        <v>6.76</v>
      </c>
      <c r="C2815" s="11">
        <f t="shared" si="172"/>
        <v>6.7599999999999993E-2</v>
      </c>
      <c r="D2815">
        <f t="shared" si="173"/>
        <v>2025</v>
      </c>
      <c r="E2815" t="str">
        <f t="shared" si="174"/>
        <v>Feb-2025</v>
      </c>
      <c r="F2815" s="12">
        <f t="shared" si="175"/>
        <v>6.36</v>
      </c>
    </row>
    <row r="2816" spans="1:6" x14ac:dyDescent="0.25">
      <c r="A2816" s="1">
        <v>45722</v>
      </c>
      <c r="B2816">
        <v>6.63</v>
      </c>
      <c r="C2816" s="11">
        <f t="shared" si="172"/>
        <v>6.6299999999999998E-2</v>
      </c>
      <c r="D2816">
        <f t="shared" si="173"/>
        <v>2025</v>
      </c>
      <c r="E2816" t="str">
        <f t="shared" si="174"/>
        <v>Mar-2025</v>
      </c>
      <c r="F2816" s="12">
        <f t="shared" si="175"/>
        <v>6.36</v>
      </c>
    </row>
    <row r="2817" spans="1:6" x14ac:dyDescent="0.25">
      <c r="A2817" s="1">
        <v>45729</v>
      </c>
      <c r="B2817">
        <v>6.65</v>
      </c>
      <c r="C2817" s="11">
        <f t="shared" si="172"/>
        <v>6.6500000000000004E-2</v>
      </c>
      <c r="D2817">
        <f t="shared" si="173"/>
        <v>2025</v>
      </c>
      <c r="E2817" t="str">
        <f t="shared" si="174"/>
        <v>Mar-2025</v>
      </c>
      <c r="F2817" s="12">
        <f t="shared" si="175"/>
        <v>6.36</v>
      </c>
    </row>
    <row r="2818" spans="1:6" x14ac:dyDescent="0.25">
      <c r="A2818" s="1">
        <v>45736</v>
      </c>
      <c r="B2818">
        <v>6.67</v>
      </c>
      <c r="C2818" s="11">
        <f t="shared" ref="C2818:C2878" si="176">B2818/100</f>
        <v>6.6699999999999995E-2</v>
      </c>
      <c r="D2818">
        <f t="shared" ref="D2818:D2878" si="177">YEAR(A2818)</f>
        <v>2025</v>
      </c>
      <c r="E2818" t="str">
        <f t="shared" ref="E2818:E2878" si="178">TEXT(A2818,"MMM-YYYY")</f>
        <v>Mar-2025</v>
      </c>
      <c r="F2818" s="12">
        <f t="shared" ref="F2818:F2878" si="179">$H$2</f>
        <v>6.36</v>
      </c>
    </row>
    <row r="2819" spans="1:6" x14ac:dyDescent="0.25">
      <c r="A2819" s="1">
        <v>45743</v>
      </c>
      <c r="B2819">
        <v>6.65</v>
      </c>
      <c r="C2819" s="11">
        <f t="shared" si="176"/>
        <v>6.6500000000000004E-2</v>
      </c>
      <c r="D2819">
        <f t="shared" si="177"/>
        <v>2025</v>
      </c>
      <c r="E2819" t="str">
        <f t="shared" si="178"/>
        <v>Mar-2025</v>
      </c>
      <c r="F2819" s="12">
        <f t="shared" si="179"/>
        <v>6.36</v>
      </c>
    </row>
    <row r="2820" spans="1:6" x14ac:dyDescent="0.25">
      <c r="A2820" s="1">
        <v>45750</v>
      </c>
      <c r="B2820">
        <v>6.64</v>
      </c>
      <c r="C2820" s="11">
        <f t="shared" si="176"/>
        <v>6.6400000000000001E-2</v>
      </c>
      <c r="D2820">
        <f t="shared" si="177"/>
        <v>2025</v>
      </c>
      <c r="E2820" t="str">
        <f t="shared" si="178"/>
        <v>Apr-2025</v>
      </c>
      <c r="F2820" s="12">
        <f t="shared" si="179"/>
        <v>6.36</v>
      </c>
    </row>
    <row r="2821" spans="1:6" x14ac:dyDescent="0.25">
      <c r="A2821" s="1">
        <v>45757</v>
      </c>
      <c r="B2821">
        <v>6.62</v>
      </c>
      <c r="C2821" s="11">
        <f t="shared" si="176"/>
        <v>6.6199999999999995E-2</v>
      </c>
      <c r="D2821">
        <f t="shared" si="177"/>
        <v>2025</v>
      </c>
      <c r="E2821" t="str">
        <f t="shared" si="178"/>
        <v>Apr-2025</v>
      </c>
      <c r="F2821" s="12">
        <f t="shared" si="179"/>
        <v>6.36</v>
      </c>
    </row>
    <row r="2822" spans="1:6" x14ac:dyDescent="0.25">
      <c r="A2822" s="1">
        <v>45764</v>
      </c>
      <c r="B2822">
        <v>6.83</v>
      </c>
      <c r="C2822" s="11">
        <f t="shared" si="176"/>
        <v>6.83E-2</v>
      </c>
      <c r="D2822">
        <f t="shared" si="177"/>
        <v>2025</v>
      </c>
      <c r="E2822" t="str">
        <f t="shared" si="178"/>
        <v>Apr-2025</v>
      </c>
      <c r="F2822" s="12">
        <f t="shared" si="179"/>
        <v>6.36</v>
      </c>
    </row>
    <row r="2823" spans="1:6" x14ac:dyDescent="0.25">
      <c r="A2823" s="1">
        <v>45771</v>
      </c>
      <c r="B2823">
        <v>6.81</v>
      </c>
      <c r="C2823" s="11">
        <f t="shared" si="176"/>
        <v>6.8099999999999994E-2</v>
      </c>
      <c r="D2823">
        <f t="shared" si="177"/>
        <v>2025</v>
      </c>
      <c r="E2823" t="str">
        <f t="shared" si="178"/>
        <v>Apr-2025</v>
      </c>
      <c r="F2823" s="12">
        <f t="shared" si="179"/>
        <v>6.36</v>
      </c>
    </row>
    <row r="2824" spans="1:6" x14ac:dyDescent="0.25">
      <c r="A2824" s="1">
        <v>45778</v>
      </c>
      <c r="B2824">
        <v>6.76</v>
      </c>
      <c r="C2824" s="11">
        <f t="shared" si="176"/>
        <v>6.7599999999999993E-2</v>
      </c>
      <c r="D2824">
        <f t="shared" si="177"/>
        <v>2025</v>
      </c>
      <c r="E2824" t="str">
        <f t="shared" si="178"/>
        <v>May-2025</v>
      </c>
      <c r="F2824" s="12">
        <f t="shared" si="179"/>
        <v>6.36</v>
      </c>
    </row>
    <row r="2825" spans="1:6" x14ac:dyDescent="0.25">
      <c r="A2825" s="1">
        <v>45785</v>
      </c>
      <c r="B2825">
        <v>6.76</v>
      </c>
      <c r="C2825" s="11">
        <f t="shared" si="176"/>
        <v>6.7599999999999993E-2</v>
      </c>
      <c r="D2825">
        <f t="shared" si="177"/>
        <v>2025</v>
      </c>
      <c r="E2825" t="str">
        <f t="shared" si="178"/>
        <v>May-2025</v>
      </c>
      <c r="F2825" s="12">
        <f t="shared" si="179"/>
        <v>6.36</v>
      </c>
    </row>
    <row r="2826" spans="1:6" x14ac:dyDescent="0.25">
      <c r="A2826" s="1">
        <v>45792</v>
      </c>
      <c r="B2826">
        <v>6.81</v>
      </c>
      <c r="C2826" s="11">
        <f t="shared" si="176"/>
        <v>6.8099999999999994E-2</v>
      </c>
      <c r="D2826">
        <f t="shared" si="177"/>
        <v>2025</v>
      </c>
      <c r="E2826" t="str">
        <f t="shared" si="178"/>
        <v>May-2025</v>
      </c>
      <c r="F2826" s="12">
        <f t="shared" si="179"/>
        <v>6.36</v>
      </c>
    </row>
    <row r="2827" spans="1:6" x14ac:dyDescent="0.25">
      <c r="A2827" s="1">
        <v>45799</v>
      </c>
      <c r="B2827">
        <v>6.86</v>
      </c>
      <c r="C2827" s="11">
        <f t="shared" si="176"/>
        <v>6.8600000000000008E-2</v>
      </c>
      <c r="D2827">
        <f t="shared" si="177"/>
        <v>2025</v>
      </c>
      <c r="E2827" t="str">
        <f t="shared" si="178"/>
        <v>May-2025</v>
      </c>
      <c r="F2827" s="12">
        <f t="shared" si="179"/>
        <v>6.36</v>
      </c>
    </row>
    <row r="2828" spans="1:6" x14ac:dyDescent="0.25">
      <c r="A2828" s="1">
        <v>45806</v>
      </c>
      <c r="B2828">
        <v>6.89</v>
      </c>
      <c r="C2828" s="11">
        <f t="shared" si="176"/>
        <v>6.8900000000000003E-2</v>
      </c>
      <c r="D2828">
        <f t="shared" si="177"/>
        <v>2025</v>
      </c>
      <c r="E2828" t="str">
        <f t="shared" si="178"/>
        <v>May-2025</v>
      </c>
      <c r="F2828" s="12">
        <f t="shared" si="179"/>
        <v>6.36</v>
      </c>
    </row>
    <row r="2829" spans="1:6" x14ac:dyDescent="0.25">
      <c r="A2829" s="1">
        <v>45813</v>
      </c>
      <c r="B2829">
        <v>6.85</v>
      </c>
      <c r="C2829" s="11">
        <f t="shared" si="176"/>
        <v>6.8499999999999991E-2</v>
      </c>
      <c r="D2829">
        <f t="shared" si="177"/>
        <v>2025</v>
      </c>
      <c r="E2829" t="str">
        <f t="shared" si="178"/>
        <v>Jun-2025</v>
      </c>
      <c r="F2829" s="12">
        <f t="shared" si="179"/>
        <v>6.36</v>
      </c>
    </row>
    <row r="2830" spans="1:6" x14ac:dyDescent="0.25">
      <c r="A2830" s="1">
        <v>45820</v>
      </c>
      <c r="B2830">
        <v>6.84</v>
      </c>
      <c r="C2830" s="11">
        <f t="shared" si="176"/>
        <v>6.8400000000000002E-2</v>
      </c>
      <c r="D2830">
        <f t="shared" si="177"/>
        <v>2025</v>
      </c>
      <c r="E2830" t="str">
        <f t="shared" si="178"/>
        <v>Jun-2025</v>
      </c>
      <c r="F2830" s="12">
        <f t="shared" si="179"/>
        <v>6.36</v>
      </c>
    </row>
    <row r="2831" spans="1:6" x14ac:dyDescent="0.25">
      <c r="A2831" s="1">
        <v>45826</v>
      </c>
      <c r="B2831">
        <v>6.81</v>
      </c>
      <c r="C2831" s="11">
        <f t="shared" si="176"/>
        <v>6.8099999999999994E-2</v>
      </c>
      <c r="D2831">
        <f t="shared" si="177"/>
        <v>2025</v>
      </c>
      <c r="E2831" t="str">
        <f t="shared" si="178"/>
        <v>Jun-2025</v>
      </c>
      <c r="F2831" s="12">
        <f t="shared" si="179"/>
        <v>6.36</v>
      </c>
    </row>
    <row r="2832" spans="1:6" x14ac:dyDescent="0.25">
      <c r="A2832" s="1">
        <v>45834</v>
      </c>
      <c r="B2832">
        <v>6.77</v>
      </c>
      <c r="C2832" s="11">
        <f t="shared" si="176"/>
        <v>6.7699999999999996E-2</v>
      </c>
      <c r="D2832">
        <f t="shared" si="177"/>
        <v>2025</v>
      </c>
      <c r="E2832" t="str">
        <f t="shared" si="178"/>
        <v>Jun-2025</v>
      </c>
      <c r="F2832" s="12">
        <f t="shared" si="179"/>
        <v>6.36</v>
      </c>
    </row>
    <row r="2833" spans="1:6" x14ac:dyDescent="0.25">
      <c r="A2833" s="1">
        <v>45841</v>
      </c>
      <c r="B2833">
        <v>6.67</v>
      </c>
      <c r="C2833" s="11">
        <f t="shared" si="176"/>
        <v>6.6699999999999995E-2</v>
      </c>
      <c r="D2833">
        <f t="shared" si="177"/>
        <v>2025</v>
      </c>
      <c r="E2833" t="str">
        <f t="shared" si="178"/>
        <v>Jul-2025</v>
      </c>
      <c r="F2833" s="12">
        <f t="shared" si="179"/>
        <v>6.36</v>
      </c>
    </row>
    <row r="2834" spans="1:6" x14ac:dyDescent="0.25">
      <c r="A2834" s="1">
        <v>45848</v>
      </c>
      <c r="B2834">
        <v>6.72</v>
      </c>
      <c r="C2834" s="11">
        <f t="shared" si="176"/>
        <v>6.7199999999999996E-2</v>
      </c>
      <c r="D2834">
        <f t="shared" si="177"/>
        <v>2025</v>
      </c>
      <c r="E2834" t="str">
        <f t="shared" si="178"/>
        <v>Jul-2025</v>
      </c>
      <c r="F2834" s="12">
        <f t="shared" si="179"/>
        <v>6.36</v>
      </c>
    </row>
    <row r="2835" spans="1:6" x14ac:dyDescent="0.25">
      <c r="A2835" s="1">
        <v>45855</v>
      </c>
      <c r="B2835">
        <v>6.75</v>
      </c>
      <c r="C2835" s="11">
        <f t="shared" si="176"/>
        <v>6.7500000000000004E-2</v>
      </c>
      <c r="D2835">
        <f t="shared" si="177"/>
        <v>2025</v>
      </c>
      <c r="E2835" t="str">
        <f t="shared" si="178"/>
        <v>Jul-2025</v>
      </c>
      <c r="F2835" s="12">
        <f t="shared" si="179"/>
        <v>6.36</v>
      </c>
    </row>
    <row r="2836" spans="1:6" x14ac:dyDescent="0.25">
      <c r="A2836" s="1">
        <v>45862</v>
      </c>
      <c r="B2836">
        <v>6.74</v>
      </c>
      <c r="C2836" s="11">
        <f t="shared" si="176"/>
        <v>6.7400000000000002E-2</v>
      </c>
      <c r="D2836">
        <f t="shared" si="177"/>
        <v>2025</v>
      </c>
      <c r="E2836" t="str">
        <f t="shared" si="178"/>
        <v>Jul-2025</v>
      </c>
      <c r="F2836" s="12">
        <f t="shared" si="179"/>
        <v>6.36</v>
      </c>
    </row>
    <row r="2837" spans="1:6" x14ac:dyDescent="0.25">
      <c r="A2837" s="1">
        <v>45869</v>
      </c>
      <c r="B2837">
        <v>6.72</v>
      </c>
      <c r="C2837" s="11">
        <f t="shared" si="176"/>
        <v>6.7199999999999996E-2</v>
      </c>
      <c r="D2837">
        <f t="shared" si="177"/>
        <v>2025</v>
      </c>
      <c r="E2837" t="str">
        <f t="shared" si="178"/>
        <v>Jul-2025</v>
      </c>
      <c r="F2837" s="12">
        <f t="shared" si="179"/>
        <v>6.36</v>
      </c>
    </row>
    <row r="2838" spans="1:6" x14ac:dyDescent="0.25">
      <c r="A2838" s="1">
        <v>45876</v>
      </c>
      <c r="B2838">
        <v>6.63</v>
      </c>
      <c r="C2838" s="11">
        <f t="shared" si="176"/>
        <v>6.6299999999999998E-2</v>
      </c>
      <c r="D2838">
        <f t="shared" si="177"/>
        <v>2025</v>
      </c>
      <c r="E2838" t="str">
        <f t="shared" si="178"/>
        <v>Aug-2025</v>
      </c>
      <c r="F2838" s="12">
        <f t="shared" si="179"/>
        <v>6.36</v>
      </c>
    </row>
    <row r="2839" spans="1:6" x14ac:dyDescent="0.25">
      <c r="A2839" s="1">
        <v>45883</v>
      </c>
      <c r="B2839">
        <v>6.58</v>
      </c>
      <c r="C2839" s="11">
        <f t="shared" si="176"/>
        <v>6.5799999999999997E-2</v>
      </c>
      <c r="D2839">
        <f t="shared" si="177"/>
        <v>2025</v>
      </c>
      <c r="E2839" t="str">
        <f t="shared" si="178"/>
        <v>Aug-2025</v>
      </c>
      <c r="F2839" s="12">
        <f t="shared" si="179"/>
        <v>6.36</v>
      </c>
    </row>
    <row r="2840" spans="1:6" x14ac:dyDescent="0.25">
      <c r="A2840" s="1">
        <v>45890</v>
      </c>
      <c r="B2840">
        <v>6.58</v>
      </c>
      <c r="C2840" s="11">
        <f t="shared" si="176"/>
        <v>6.5799999999999997E-2</v>
      </c>
      <c r="D2840">
        <f t="shared" si="177"/>
        <v>2025</v>
      </c>
      <c r="E2840" t="str">
        <f t="shared" si="178"/>
        <v>Aug-2025</v>
      </c>
      <c r="F2840" s="12">
        <f t="shared" si="179"/>
        <v>6.36</v>
      </c>
    </row>
    <row r="2841" spans="1:6" x14ac:dyDescent="0.25">
      <c r="A2841" s="1">
        <v>45897</v>
      </c>
      <c r="B2841">
        <v>6.56</v>
      </c>
      <c r="C2841" s="11">
        <f t="shared" si="176"/>
        <v>6.5599999999999992E-2</v>
      </c>
      <c r="D2841">
        <f t="shared" si="177"/>
        <v>2025</v>
      </c>
      <c r="E2841" t="str">
        <f t="shared" si="178"/>
        <v>Aug-2025</v>
      </c>
      <c r="F2841" s="12">
        <f t="shared" si="179"/>
        <v>6.36</v>
      </c>
    </row>
    <row r="2842" spans="1:6" x14ac:dyDescent="0.25">
      <c r="A2842" s="1">
        <v>45904</v>
      </c>
      <c r="B2842">
        <v>6.5</v>
      </c>
      <c r="C2842" s="11">
        <f t="shared" si="176"/>
        <v>6.5000000000000002E-2</v>
      </c>
      <c r="D2842">
        <f t="shared" si="177"/>
        <v>2025</v>
      </c>
      <c r="E2842" t="str">
        <f t="shared" si="178"/>
        <v>Sep-2025</v>
      </c>
      <c r="F2842" s="12">
        <f t="shared" si="179"/>
        <v>6.36</v>
      </c>
    </row>
    <row r="2843" spans="1:6" x14ac:dyDescent="0.25">
      <c r="A2843" s="1">
        <v>45911</v>
      </c>
      <c r="B2843">
        <v>6.35</v>
      </c>
      <c r="C2843" s="11">
        <f t="shared" si="176"/>
        <v>6.3500000000000001E-2</v>
      </c>
      <c r="D2843">
        <f t="shared" si="177"/>
        <v>2025</v>
      </c>
      <c r="E2843" t="str">
        <f t="shared" si="178"/>
        <v>Sep-2025</v>
      </c>
      <c r="F2843" s="12">
        <f t="shared" si="179"/>
        <v>6.36</v>
      </c>
    </row>
    <row r="2844" spans="1:6" x14ac:dyDescent="0.25">
      <c r="A2844" s="1">
        <v>45918</v>
      </c>
      <c r="B2844">
        <v>6.26</v>
      </c>
      <c r="C2844" s="11">
        <f t="shared" si="176"/>
        <v>6.2600000000000003E-2</v>
      </c>
      <c r="D2844">
        <f t="shared" si="177"/>
        <v>2025</v>
      </c>
      <c r="E2844" t="str">
        <f t="shared" si="178"/>
        <v>Sep-2025</v>
      </c>
      <c r="F2844" s="12">
        <f t="shared" si="179"/>
        <v>6.36</v>
      </c>
    </row>
    <row r="2845" spans="1:6" x14ac:dyDescent="0.25">
      <c r="A2845" s="1">
        <v>45925</v>
      </c>
      <c r="B2845">
        <v>6.3</v>
      </c>
      <c r="C2845" s="11">
        <f t="shared" si="176"/>
        <v>6.3E-2</v>
      </c>
      <c r="D2845">
        <f t="shared" si="177"/>
        <v>2025</v>
      </c>
      <c r="E2845" t="str">
        <f t="shared" si="178"/>
        <v>Sep-2025</v>
      </c>
      <c r="F2845" s="12">
        <f t="shared" si="179"/>
        <v>6.36</v>
      </c>
    </row>
    <row r="2846" spans="1:6" x14ac:dyDescent="0.25">
      <c r="A2846" s="1">
        <v>45932</v>
      </c>
      <c r="B2846">
        <v>6.34</v>
      </c>
      <c r="C2846" s="11">
        <f t="shared" si="176"/>
        <v>6.3399999999999998E-2</v>
      </c>
      <c r="D2846">
        <f t="shared" si="177"/>
        <v>2025</v>
      </c>
      <c r="E2846" t="str">
        <f t="shared" si="178"/>
        <v>Oct-2025</v>
      </c>
      <c r="F2846" s="12">
        <f t="shared" si="179"/>
        <v>6.36</v>
      </c>
    </row>
    <row r="2847" spans="1:6" x14ac:dyDescent="0.25">
      <c r="A2847" s="1">
        <v>45939</v>
      </c>
      <c r="B2847">
        <v>6.3</v>
      </c>
      <c r="C2847" s="11">
        <f t="shared" si="176"/>
        <v>6.3E-2</v>
      </c>
      <c r="D2847">
        <f t="shared" si="177"/>
        <v>2025</v>
      </c>
      <c r="E2847" t="str">
        <f t="shared" si="178"/>
        <v>Oct-2025</v>
      </c>
      <c r="F2847" s="12">
        <f t="shared" si="179"/>
        <v>6.36</v>
      </c>
    </row>
    <row r="2848" spans="1:6" x14ac:dyDescent="0.25">
      <c r="A2848" s="1">
        <v>45946</v>
      </c>
      <c r="B2848">
        <v>6.27</v>
      </c>
      <c r="C2848" s="11">
        <f t="shared" si="176"/>
        <v>6.2699999999999992E-2</v>
      </c>
      <c r="D2848">
        <f t="shared" si="177"/>
        <v>2025</v>
      </c>
      <c r="E2848" t="str">
        <f t="shared" si="178"/>
        <v>Oct-2025</v>
      </c>
      <c r="F2848" s="12">
        <f t="shared" si="179"/>
        <v>6.36</v>
      </c>
    </row>
    <row r="2849" spans="1:6" x14ac:dyDescent="0.25">
      <c r="A2849" s="1">
        <v>45953</v>
      </c>
      <c r="B2849">
        <v>6.19</v>
      </c>
      <c r="C2849" s="11">
        <f t="shared" si="176"/>
        <v>6.1900000000000004E-2</v>
      </c>
      <c r="D2849">
        <f t="shared" si="177"/>
        <v>2025</v>
      </c>
      <c r="E2849" t="str">
        <f t="shared" si="178"/>
        <v>Oct-2025</v>
      </c>
      <c r="F2849" s="12">
        <f t="shared" si="179"/>
        <v>6.36</v>
      </c>
    </row>
    <row r="2850" spans="1:6" x14ac:dyDescent="0.25">
      <c r="A2850" s="1">
        <v>45960</v>
      </c>
      <c r="B2850">
        <v>6.17</v>
      </c>
      <c r="C2850" s="11">
        <f t="shared" si="176"/>
        <v>6.1699999999999998E-2</v>
      </c>
      <c r="D2850">
        <f t="shared" si="177"/>
        <v>2025</v>
      </c>
      <c r="E2850" t="str">
        <f t="shared" si="178"/>
        <v>Oct-2025</v>
      </c>
      <c r="F2850" s="12">
        <f t="shared" si="179"/>
        <v>6.36</v>
      </c>
    </row>
    <row r="2851" spans="1:6" x14ac:dyDescent="0.25">
      <c r="A2851" s="1">
        <v>45967</v>
      </c>
      <c r="B2851">
        <v>6.22</v>
      </c>
      <c r="C2851" s="11">
        <f t="shared" si="176"/>
        <v>6.2199999999999998E-2</v>
      </c>
      <c r="D2851">
        <f t="shared" si="177"/>
        <v>2025</v>
      </c>
      <c r="E2851" t="str">
        <f t="shared" si="178"/>
        <v>Nov-2025</v>
      </c>
      <c r="F2851" s="12">
        <f t="shared" si="179"/>
        <v>6.36</v>
      </c>
    </row>
    <row r="2852" spans="1:6" x14ac:dyDescent="0.25">
      <c r="A2852" s="1">
        <v>45974</v>
      </c>
      <c r="B2852">
        <v>6.24</v>
      </c>
      <c r="C2852" s="11">
        <f t="shared" si="176"/>
        <v>6.2400000000000004E-2</v>
      </c>
      <c r="D2852">
        <f t="shared" si="177"/>
        <v>2025</v>
      </c>
      <c r="E2852" t="str">
        <f t="shared" si="178"/>
        <v>Nov-2025</v>
      </c>
      <c r="F2852" s="12">
        <f t="shared" si="179"/>
        <v>6.36</v>
      </c>
    </row>
    <row r="2853" spans="1:6" x14ac:dyDescent="0.25">
      <c r="A2853" s="1">
        <v>45981</v>
      </c>
      <c r="B2853">
        <v>6.26</v>
      </c>
      <c r="C2853" s="11">
        <f t="shared" si="176"/>
        <v>6.2600000000000003E-2</v>
      </c>
      <c r="D2853">
        <f t="shared" si="177"/>
        <v>2025</v>
      </c>
      <c r="E2853" t="str">
        <f t="shared" si="178"/>
        <v>Nov-2025</v>
      </c>
      <c r="F2853" s="12">
        <f t="shared" si="179"/>
        <v>6.36</v>
      </c>
    </row>
    <row r="2854" spans="1:6" x14ac:dyDescent="0.25">
      <c r="A2854" s="1">
        <v>45987</v>
      </c>
      <c r="B2854">
        <v>6.23</v>
      </c>
      <c r="C2854" s="11">
        <f t="shared" si="176"/>
        <v>6.2300000000000001E-2</v>
      </c>
      <c r="D2854">
        <f t="shared" si="177"/>
        <v>2025</v>
      </c>
      <c r="E2854" t="str">
        <f t="shared" si="178"/>
        <v>Nov-2025</v>
      </c>
      <c r="F2854" s="12">
        <f t="shared" si="179"/>
        <v>6.36</v>
      </c>
    </row>
    <row r="2855" spans="1:6" x14ac:dyDescent="0.25">
      <c r="A2855" s="1">
        <v>45995</v>
      </c>
      <c r="B2855">
        <v>6.19</v>
      </c>
      <c r="C2855" s="11">
        <f t="shared" si="176"/>
        <v>6.1900000000000004E-2</v>
      </c>
      <c r="D2855">
        <f t="shared" si="177"/>
        <v>2025</v>
      </c>
      <c r="E2855" t="str">
        <f t="shared" si="178"/>
        <v>Dec-2025</v>
      </c>
      <c r="F2855" s="12">
        <f t="shared" si="179"/>
        <v>6.36</v>
      </c>
    </row>
    <row r="2856" spans="1:6" x14ac:dyDescent="0.25">
      <c r="A2856" s="1">
        <v>46002</v>
      </c>
      <c r="B2856">
        <v>6.22</v>
      </c>
      <c r="C2856" s="11">
        <f t="shared" si="176"/>
        <v>6.2199999999999998E-2</v>
      </c>
      <c r="D2856">
        <f t="shared" si="177"/>
        <v>2025</v>
      </c>
      <c r="E2856" t="str">
        <f t="shared" si="178"/>
        <v>Dec-2025</v>
      </c>
      <c r="F2856" s="12">
        <f t="shared" si="179"/>
        <v>6.36</v>
      </c>
    </row>
    <row r="2857" spans="1:6" x14ac:dyDescent="0.25">
      <c r="A2857" s="1">
        <v>46009</v>
      </c>
      <c r="B2857">
        <v>6.21</v>
      </c>
      <c r="C2857" s="11">
        <f t="shared" si="176"/>
        <v>6.2100000000000002E-2</v>
      </c>
      <c r="D2857">
        <f t="shared" si="177"/>
        <v>2025</v>
      </c>
      <c r="E2857" t="str">
        <f t="shared" si="178"/>
        <v>Dec-2025</v>
      </c>
      <c r="F2857" s="12">
        <f t="shared" si="179"/>
        <v>6.36</v>
      </c>
    </row>
    <row r="2858" spans="1:6" x14ac:dyDescent="0.25">
      <c r="A2858" s="1">
        <v>46015</v>
      </c>
      <c r="B2858">
        <v>6.18</v>
      </c>
      <c r="C2858" s="11">
        <f t="shared" si="176"/>
        <v>6.1799999999999994E-2</v>
      </c>
      <c r="D2858">
        <f t="shared" si="177"/>
        <v>2025</v>
      </c>
      <c r="E2858" t="str">
        <f t="shared" si="178"/>
        <v>Dec-2025</v>
      </c>
      <c r="F2858" s="12">
        <f t="shared" si="179"/>
        <v>6.36</v>
      </c>
    </row>
    <row r="2859" spans="1:6" x14ac:dyDescent="0.25">
      <c r="A2859" s="1">
        <v>46022</v>
      </c>
      <c r="B2859">
        <v>6.15</v>
      </c>
      <c r="C2859" s="11">
        <f t="shared" si="176"/>
        <v>6.1500000000000006E-2</v>
      </c>
      <c r="D2859">
        <f t="shared" si="177"/>
        <v>2025</v>
      </c>
      <c r="E2859" t="str">
        <f t="shared" si="178"/>
        <v>Dec-2025</v>
      </c>
      <c r="F2859" s="12">
        <f t="shared" si="179"/>
        <v>6.36</v>
      </c>
    </row>
    <row r="2860" spans="1:6" x14ac:dyDescent="0.25">
      <c r="A2860" s="1">
        <v>46030</v>
      </c>
      <c r="B2860">
        <v>6.16</v>
      </c>
      <c r="C2860" s="11">
        <f t="shared" si="176"/>
        <v>6.1600000000000002E-2</v>
      </c>
      <c r="D2860">
        <f t="shared" si="177"/>
        <v>2026</v>
      </c>
      <c r="E2860" t="str">
        <f t="shared" si="178"/>
        <v>Jan-2026</v>
      </c>
      <c r="F2860" s="12">
        <f t="shared" si="179"/>
        <v>6.36</v>
      </c>
    </row>
    <row r="2861" spans="1:6" x14ac:dyDescent="0.25">
      <c r="A2861" s="1">
        <v>46037</v>
      </c>
      <c r="B2861">
        <v>6.06</v>
      </c>
      <c r="C2861" s="11">
        <f t="shared" si="176"/>
        <v>6.0599999999999994E-2</v>
      </c>
      <c r="D2861">
        <f t="shared" si="177"/>
        <v>2026</v>
      </c>
      <c r="E2861" t="str">
        <f t="shared" si="178"/>
        <v>Jan-2026</v>
      </c>
      <c r="F2861" s="12">
        <f t="shared" si="179"/>
        <v>6.36</v>
      </c>
    </row>
    <row r="2862" spans="1:6" x14ac:dyDescent="0.25">
      <c r="A2862" s="1">
        <v>46044</v>
      </c>
      <c r="B2862">
        <v>6.09</v>
      </c>
      <c r="C2862" s="11">
        <f t="shared" si="176"/>
        <v>6.0899999999999996E-2</v>
      </c>
      <c r="D2862">
        <f t="shared" si="177"/>
        <v>2026</v>
      </c>
      <c r="E2862" t="str">
        <f t="shared" si="178"/>
        <v>Jan-2026</v>
      </c>
      <c r="F2862" s="12">
        <f t="shared" si="179"/>
        <v>6.36</v>
      </c>
    </row>
    <row r="2863" spans="1:6" x14ac:dyDescent="0.25">
      <c r="A2863" s="1">
        <v>46051</v>
      </c>
      <c r="B2863">
        <v>6.1</v>
      </c>
      <c r="C2863" s="11">
        <f t="shared" si="176"/>
        <v>6.0999999999999999E-2</v>
      </c>
      <c r="D2863">
        <f t="shared" si="177"/>
        <v>2026</v>
      </c>
      <c r="E2863" t="str">
        <f t="shared" si="178"/>
        <v>Jan-2026</v>
      </c>
      <c r="F2863" s="12">
        <f t="shared" si="179"/>
        <v>6.36</v>
      </c>
    </row>
    <row r="2864" spans="1:6" x14ac:dyDescent="0.25">
      <c r="A2864" s="1">
        <v>46058</v>
      </c>
      <c r="B2864">
        <v>6.11</v>
      </c>
      <c r="C2864" s="11">
        <f t="shared" si="176"/>
        <v>6.1100000000000002E-2</v>
      </c>
      <c r="D2864">
        <f t="shared" si="177"/>
        <v>2026</v>
      </c>
      <c r="E2864" t="str">
        <f t="shared" si="178"/>
        <v>Feb-2026</v>
      </c>
      <c r="F2864" s="12">
        <f t="shared" si="179"/>
        <v>6.36</v>
      </c>
    </row>
    <row r="2865" spans="1:6" x14ac:dyDescent="0.25">
      <c r="A2865" s="1">
        <v>46065</v>
      </c>
      <c r="B2865">
        <v>6.09</v>
      </c>
      <c r="C2865" s="11">
        <f t="shared" si="176"/>
        <v>6.0899999999999996E-2</v>
      </c>
      <c r="D2865">
        <f t="shared" si="177"/>
        <v>2026</v>
      </c>
      <c r="E2865" t="str">
        <f t="shared" si="178"/>
        <v>Feb-2026</v>
      </c>
      <c r="F2865" s="12">
        <f t="shared" si="179"/>
        <v>6.36</v>
      </c>
    </row>
    <row r="2866" spans="1:6" x14ac:dyDescent="0.25">
      <c r="A2866" s="1">
        <v>46072</v>
      </c>
      <c r="B2866">
        <v>6.01</v>
      </c>
      <c r="C2866" s="11">
        <f t="shared" si="176"/>
        <v>6.0100000000000001E-2</v>
      </c>
      <c r="D2866">
        <f t="shared" si="177"/>
        <v>2026</v>
      </c>
      <c r="E2866" t="str">
        <f t="shared" si="178"/>
        <v>Feb-2026</v>
      </c>
      <c r="F2866" s="12">
        <f t="shared" si="179"/>
        <v>6.36</v>
      </c>
    </row>
    <row r="2867" spans="1:6" x14ac:dyDescent="0.25">
      <c r="A2867" s="1">
        <v>46079</v>
      </c>
      <c r="B2867">
        <v>5.98</v>
      </c>
      <c r="C2867" s="11">
        <f t="shared" si="176"/>
        <v>5.9800000000000006E-2</v>
      </c>
      <c r="D2867">
        <f t="shared" si="177"/>
        <v>2026</v>
      </c>
      <c r="E2867" t="str">
        <f t="shared" si="178"/>
        <v>Feb-2026</v>
      </c>
      <c r="F2867" s="12">
        <f t="shared" si="179"/>
        <v>6.36</v>
      </c>
    </row>
    <row r="2868" spans="1:6" x14ac:dyDescent="0.25">
      <c r="A2868" s="1">
        <v>46086</v>
      </c>
      <c r="B2868">
        <v>6</v>
      </c>
      <c r="C2868" s="11">
        <f t="shared" si="176"/>
        <v>0.06</v>
      </c>
      <c r="D2868">
        <f t="shared" si="177"/>
        <v>2026</v>
      </c>
      <c r="E2868" t="str">
        <f t="shared" si="178"/>
        <v>Mar-2026</v>
      </c>
      <c r="F2868" s="12">
        <f t="shared" si="179"/>
        <v>6.36</v>
      </c>
    </row>
    <row r="2869" spans="1:6" x14ac:dyDescent="0.25">
      <c r="A2869" s="1">
        <v>46093</v>
      </c>
      <c r="B2869">
        <v>6.11</v>
      </c>
      <c r="C2869" s="11">
        <f t="shared" si="176"/>
        <v>6.1100000000000002E-2</v>
      </c>
      <c r="D2869">
        <f t="shared" si="177"/>
        <v>2026</v>
      </c>
      <c r="E2869" t="str">
        <f t="shared" si="178"/>
        <v>Mar-2026</v>
      </c>
      <c r="F2869" s="12">
        <f t="shared" si="179"/>
        <v>6.36</v>
      </c>
    </row>
    <row r="2870" spans="1:6" x14ac:dyDescent="0.25">
      <c r="A2870" s="1">
        <v>46100</v>
      </c>
      <c r="B2870">
        <v>6.22</v>
      </c>
      <c r="C2870" s="11">
        <f t="shared" si="176"/>
        <v>6.2199999999999998E-2</v>
      </c>
      <c r="D2870">
        <f t="shared" si="177"/>
        <v>2026</v>
      </c>
      <c r="E2870" t="str">
        <f t="shared" si="178"/>
        <v>Mar-2026</v>
      </c>
      <c r="F2870" s="12">
        <f t="shared" si="179"/>
        <v>6.36</v>
      </c>
    </row>
    <row r="2871" spans="1:6" x14ac:dyDescent="0.25">
      <c r="A2871" s="1">
        <v>46107</v>
      </c>
      <c r="B2871">
        <v>6.38</v>
      </c>
      <c r="C2871" s="11">
        <f t="shared" si="176"/>
        <v>6.3799999999999996E-2</v>
      </c>
      <c r="D2871">
        <f t="shared" si="177"/>
        <v>2026</v>
      </c>
      <c r="E2871" t="str">
        <f t="shared" si="178"/>
        <v>Mar-2026</v>
      </c>
      <c r="F2871" s="12">
        <f t="shared" si="179"/>
        <v>6.36</v>
      </c>
    </row>
    <row r="2872" spans="1:6" x14ac:dyDescent="0.25">
      <c r="A2872" s="1">
        <v>46114</v>
      </c>
      <c r="B2872">
        <v>6.46</v>
      </c>
      <c r="C2872" s="11">
        <f t="shared" si="176"/>
        <v>6.4600000000000005E-2</v>
      </c>
      <c r="D2872">
        <f t="shared" si="177"/>
        <v>2026</v>
      </c>
      <c r="E2872" t="str">
        <f t="shared" si="178"/>
        <v>Apr-2026</v>
      </c>
      <c r="F2872" s="12">
        <f t="shared" si="179"/>
        <v>6.36</v>
      </c>
    </row>
    <row r="2873" spans="1:6" x14ac:dyDescent="0.25">
      <c r="A2873" s="1">
        <v>46121</v>
      </c>
      <c r="B2873">
        <v>6.37</v>
      </c>
      <c r="C2873" s="11">
        <f t="shared" si="176"/>
        <v>6.3700000000000007E-2</v>
      </c>
      <c r="D2873">
        <f t="shared" si="177"/>
        <v>2026</v>
      </c>
      <c r="E2873" t="str">
        <f t="shared" si="178"/>
        <v>Apr-2026</v>
      </c>
      <c r="F2873" s="12">
        <f t="shared" si="179"/>
        <v>6.36</v>
      </c>
    </row>
    <row r="2874" spans="1:6" x14ac:dyDescent="0.25">
      <c r="A2874" s="1">
        <v>46128</v>
      </c>
      <c r="B2874">
        <v>6.3</v>
      </c>
      <c r="C2874" s="11">
        <f t="shared" si="176"/>
        <v>6.3E-2</v>
      </c>
      <c r="D2874">
        <f t="shared" si="177"/>
        <v>2026</v>
      </c>
      <c r="E2874" t="str">
        <f t="shared" si="178"/>
        <v>Apr-2026</v>
      </c>
      <c r="F2874" s="12">
        <f t="shared" si="179"/>
        <v>6.36</v>
      </c>
    </row>
    <row r="2875" spans="1:6" x14ac:dyDescent="0.25">
      <c r="A2875" s="1">
        <v>46135</v>
      </c>
      <c r="B2875">
        <v>6.23</v>
      </c>
      <c r="C2875" s="11">
        <f t="shared" si="176"/>
        <v>6.2300000000000001E-2</v>
      </c>
      <c r="D2875">
        <f t="shared" si="177"/>
        <v>2026</v>
      </c>
      <c r="E2875" t="str">
        <f t="shared" si="178"/>
        <v>Apr-2026</v>
      </c>
      <c r="F2875" s="12">
        <f t="shared" si="179"/>
        <v>6.36</v>
      </c>
    </row>
    <row r="2876" spans="1:6" x14ac:dyDescent="0.25">
      <c r="A2876" s="1">
        <v>46142</v>
      </c>
      <c r="B2876">
        <v>6.3</v>
      </c>
      <c r="C2876" s="11">
        <f t="shared" si="176"/>
        <v>6.3E-2</v>
      </c>
      <c r="D2876">
        <f t="shared" si="177"/>
        <v>2026</v>
      </c>
      <c r="E2876" t="str">
        <f t="shared" si="178"/>
        <v>Apr-2026</v>
      </c>
      <c r="F2876" s="12">
        <f t="shared" si="179"/>
        <v>6.36</v>
      </c>
    </row>
    <row r="2877" spans="1:6" x14ac:dyDescent="0.25">
      <c r="A2877" s="1">
        <v>46149</v>
      </c>
      <c r="B2877">
        <v>6.37</v>
      </c>
      <c r="C2877" s="11">
        <f t="shared" si="176"/>
        <v>6.3700000000000007E-2</v>
      </c>
      <c r="D2877">
        <f t="shared" si="177"/>
        <v>2026</v>
      </c>
      <c r="E2877" t="str">
        <f t="shared" si="178"/>
        <v>May-2026</v>
      </c>
      <c r="F2877" s="12">
        <f t="shared" si="179"/>
        <v>6.36</v>
      </c>
    </row>
    <row r="2878" spans="1:6" x14ac:dyDescent="0.25">
      <c r="A2878" s="1">
        <v>46156</v>
      </c>
      <c r="B2878">
        <v>6.36</v>
      </c>
      <c r="C2878" s="11">
        <f t="shared" si="176"/>
        <v>6.3600000000000004E-2</v>
      </c>
      <c r="D2878">
        <f t="shared" si="177"/>
        <v>2026</v>
      </c>
      <c r="E2878" t="str">
        <f t="shared" si="178"/>
        <v>May-2026</v>
      </c>
      <c r="F2878" s="12">
        <f t="shared" si="179"/>
        <v>6.36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sqref="A1:D1"/>
    </sheetView>
  </sheetViews>
  <sheetFormatPr defaultRowHeight="15" x14ac:dyDescent="0.25"/>
  <cols>
    <col min="1" max="1" width="28" customWidth="1"/>
    <col min="2" max="2" width="18" customWidth="1"/>
    <col min="3" max="3" width="2" customWidth="1"/>
    <col min="4" max="4" width="35" customWidth="1"/>
  </cols>
  <sheetData>
    <row r="1" spans="1:4" ht="27.95" customHeight="1" x14ac:dyDescent="0.25">
      <c r="A1" s="78" t="s">
        <v>114</v>
      </c>
      <c r="B1" s="61"/>
      <c r="C1" s="61"/>
      <c r="D1" s="61"/>
    </row>
    <row r="3" spans="1:4" ht="15.75" x14ac:dyDescent="0.25">
      <c r="A3" s="6" t="s">
        <v>115</v>
      </c>
    </row>
    <row r="4" spans="1:4" x14ac:dyDescent="0.25">
      <c r="A4" s="4" t="s">
        <v>116</v>
      </c>
      <c r="B4" s="13">
        <v>500000</v>
      </c>
      <c r="D4" s="14" t="s">
        <v>117</v>
      </c>
    </row>
    <row r="5" spans="1:4" x14ac:dyDescent="0.25">
      <c r="A5" s="4" t="s">
        <v>118</v>
      </c>
      <c r="B5" s="15">
        <v>0.2</v>
      </c>
      <c r="D5" s="14" t="s">
        <v>119</v>
      </c>
    </row>
    <row r="6" spans="1:4" x14ac:dyDescent="0.25">
      <c r="A6" s="4" t="s">
        <v>120</v>
      </c>
      <c r="B6" s="16">
        <f>B4*(1-B5)</f>
        <v>400000</v>
      </c>
      <c r="D6" s="14" t="s">
        <v>121</v>
      </c>
    </row>
    <row r="7" spans="1:4" x14ac:dyDescent="0.25">
      <c r="A7" s="4" t="s">
        <v>122</v>
      </c>
      <c r="B7" s="17">
        <f>30</f>
        <v>30</v>
      </c>
      <c r="D7" s="14" t="s">
        <v>123</v>
      </c>
    </row>
    <row r="8" spans="1:4" x14ac:dyDescent="0.25">
      <c r="A8" s="4" t="s">
        <v>124</v>
      </c>
      <c r="B8" s="17">
        <f>B7*12</f>
        <v>360</v>
      </c>
      <c r="D8" s="14" t="s">
        <v>125</v>
      </c>
    </row>
    <row r="9" spans="1:4" x14ac:dyDescent="0.25">
      <c r="A9" s="4" t="s">
        <v>126</v>
      </c>
      <c r="B9" s="18">
        <f>LatestRate/100</f>
        <v>6.3600000000000004E-2</v>
      </c>
      <c r="D9" s="14" t="s">
        <v>127</v>
      </c>
    </row>
    <row r="10" spans="1:4" x14ac:dyDescent="0.25">
      <c r="A10" s="4" t="s">
        <v>128</v>
      </c>
      <c r="B10" s="13">
        <v>2500</v>
      </c>
      <c r="D10" s="14" t="s">
        <v>129</v>
      </c>
    </row>
    <row r="13" spans="1:4" ht="15.75" x14ac:dyDescent="0.25">
      <c r="A13" s="6" t="s">
        <v>130</v>
      </c>
    </row>
    <row r="14" spans="1:4" x14ac:dyDescent="0.25">
      <c r="A14" s="4" t="s">
        <v>131</v>
      </c>
      <c r="B14" s="13">
        <v>380000</v>
      </c>
      <c r="D14" s="14" t="s">
        <v>132</v>
      </c>
    </row>
    <row r="15" spans="1:4" x14ac:dyDescent="0.25">
      <c r="A15" s="4" t="s">
        <v>133</v>
      </c>
      <c r="B15" s="15">
        <v>7.0000000000000007E-2</v>
      </c>
      <c r="D15" s="14" t="s">
        <v>134</v>
      </c>
    </row>
    <row r="16" spans="1:4" x14ac:dyDescent="0.25">
      <c r="A16" s="4" t="s">
        <v>135</v>
      </c>
      <c r="B16" s="15">
        <v>0.06</v>
      </c>
      <c r="D16" s="14" t="s">
        <v>136</v>
      </c>
    </row>
    <row r="17" spans="1:4" x14ac:dyDescent="0.25">
      <c r="A17" s="4" t="s">
        <v>137</v>
      </c>
      <c r="B17" s="19">
        <v>324</v>
      </c>
      <c r="D17" s="14" t="s">
        <v>138</v>
      </c>
    </row>
    <row r="18" spans="1:4" x14ac:dyDescent="0.25">
      <c r="A18" s="4" t="s">
        <v>139</v>
      </c>
      <c r="B18" s="13">
        <v>6000</v>
      </c>
      <c r="D18" s="14" t="s">
        <v>140</v>
      </c>
    </row>
    <row r="19" spans="1:4" x14ac:dyDescent="0.25">
      <c r="A19" s="4" t="s">
        <v>141</v>
      </c>
      <c r="B19" s="19">
        <v>60</v>
      </c>
      <c r="D19" s="14" t="s">
        <v>142</v>
      </c>
    </row>
  </sheetData>
  <mergeCells count="1">
    <mergeCell ref="A1:D1"/>
  </mergeCells>
  <dataValidations count="4">
    <dataValidation type="decimal" showErrorMessage="1" errorTitle="Invalid Down Payment" error="Enter as decimal 0-1 (e.g. 0.20)" sqref="B5" xr:uid="{00000000-0002-0000-0200-000000000000}">
      <formula1>0</formula1>
      <formula2>1</formula2>
    </dataValidation>
    <dataValidation type="decimal" showErrorMessage="1" errorTitle="Invalid Rate" error="Enter rate as decimal (e.g. 0.07)" sqref="B15:B16" xr:uid="{00000000-0002-0000-0200-000001000000}">
      <formula1>0.001</formula1>
      <formula2>0.3</formula2>
    </dataValidation>
    <dataValidation type="whole" showErrorMessage="1" errorTitle="Invalid Term" error="Enter months 1-360" sqref="B17" xr:uid="{00000000-0002-0000-0200-000002000000}">
      <formula1>1</formula1>
      <formula2>360</formula2>
    </dataValidation>
    <dataValidation type="whole" showErrorMessage="1" errorTitle="Invalid Holding Period" error="Enter holding period 1-360" sqref="B19" xr:uid="{00000000-0002-0000-0200-000003000000}">
      <formula1>1</formula1>
      <formula2>360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6"/>
  <sheetViews>
    <sheetView workbookViewId="0">
      <selection sqref="A1:H1"/>
    </sheetView>
  </sheetViews>
  <sheetFormatPr defaultRowHeight="15" x14ac:dyDescent="0.25"/>
  <cols>
    <col min="1" max="1" width="16" customWidth="1"/>
    <col min="2" max="2" width="12" customWidth="1"/>
    <col min="3" max="3" width="14" customWidth="1"/>
    <col min="4" max="4" width="16" customWidth="1"/>
    <col min="5" max="5" width="20" customWidth="1"/>
    <col min="6" max="6" width="22" customWidth="1"/>
    <col min="7" max="7" width="18" customWidth="1"/>
    <col min="8" max="8" width="20" customWidth="1"/>
  </cols>
  <sheetData>
    <row r="1" spans="1:8" ht="27.95" customHeight="1" x14ac:dyDescent="0.25">
      <c r="A1" s="78" t="s">
        <v>143</v>
      </c>
      <c r="B1" s="61"/>
      <c r="C1" s="61"/>
      <c r="D1" s="61"/>
      <c r="E1" s="61"/>
      <c r="F1" s="61"/>
      <c r="G1" s="61"/>
      <c r="H1" s="61"/>
    </row>
    <row r="2" spans="1:8" ht="47.25" x14ac:dyDescent="0.25">
      <c r="A2" s="34" t="s">
        <v>144</v>
      </c>
    </row>
    <row r="3" spans="1:8" x14ac:dyDescent="0.25">
      <c r="A3" s="4" t="s">
        <v>120</v>
      </c>
      <c r="B3" s="16">
        <f>Assump_LoanAmt</f>
        <v>400000</v>
      </c>
    </row>
    <row r="4" spans="1:8" x14ac:dyDescent="0.25">
      <c r="A4" s="4" t="s">
        <v>145</v>
      </c>
      <c r="B4" s="18">
        <f>Assump_BaseRate</f>
        <v>6.3600000000000004E-2</v>
      </c>
    </row>
    <row r="5" spans="1:8" ht="30" x14ac:dyDescent="0.25">
      <c r="A5" s="37" t="s">
        <v>124</v>
      </c>
      <c r="B5" s="17">
        <f>Assump_TermMos</f>
        <v>360</v>
      </c>
    </row>
    <row r="6" spans="1:8" x14ac:dyDescent="0.25">
      <c r="A6" s="4" t="s">
        <v>146</v>
      </c>
      <c r="B6" s="16">
        <f>Assump_Budget</f>
        <v>2500</v>
      </c>
    </row>
    <row r="10" spans="1:8" x14ac:dyDescent="0.25">
      <c r="A10" s="8" t="s">
        <v>147</v>
      </c>
      <c r="B10" s="8" t="s">
        <v>148</v>
      </c>
      <c r="C10" s="8" t="s">
        <v>149</v>
      </c>
      <c r="D10" s="8" t="s">
        <v>150</v>
      </c>
      <c r="E10" s="36" t="s">
        <v>151</v>
      </c>
      <c r="F10" s="8" t="s">
        <v>152</v>
      </c>
      <c r="G10" s="8" t="s">
        <v>153</v>
      </c>
      <c r="H10" s="8" t="s">
        <v>154</v>
      </c>
    </row>
    <row r="11" spans="1:8" x14ac:dyDescent="0.25">
      <c r="A11" s="3" t="s">
        <v>155</v>
      </c>
      <c r="B11" s="20">
        <v>-0.01</v>
      </c>
      <c r="C11" s="18">
        <f t="shared" ref="C11:C16" si="0">Assump_BaseRate+B11</f>
        <v>5.3600000000000002E-2</v>
      </c>
      <c r="D11" s="21">
        <f t="shared" ref="D11:D16" si="1">IFERROR(PMT(C11/12,Assump_TermMos,-Assump_LoanAmt),"—")</f>
        <v>2236.1458837595983</v>
      </c>
      <c r="E11" s="42">
        <f>IFERROR(D11-$D$13,"—")</f>
        <v>-255.41077401593975</v>
      </c>
      <c r="F11" s="16">
        <f t="shared" ref="F11:F16" si="2">IFERROR(-CUMIPMT(C11/12,Assump_TermMos,Assump_LoanAmt,1,Assump_TermMos,0),"—")</f>
        <v>405012.51815345534</v>
      </c>
      <c r="G11" s="16">
        <f t="shared" ref="G11:G16" si="3">IFERROR(Assump_LoanAmt+F11,"—")</f>
        <v>805012.51815345534</v>
      </c>
      <c r="H11" s="16">
        <f t="shared" ref="H11:H16" si="4">IFERROR(-PV(C11/12,Assump_TermMos,Assump_Budget),"—")</f>
        <v>447198.01479083864</v>
      </c>
    </row>
    <row r="12" spans="1:8" x14ac:dyDescent="0.25">
      <c r="A12" s="3" t="s">
        <v>156</v>
      </c>
      <c r="B12" s="20">
        <v>-5.0000000000000001E-3</v>
      </c>
      <c r="C12" s="18">
        <f t="shared" si="0"/>
        <v>5.8600000000000006E-2</v>
      </c>
      <c r="D12" s="21">
        <f t="shared" si="1"/>
        <v>2362.3177430506253</v>
      </c>
      <c r="E12" s="42">
        <f>IFERROR(D12-$D$13,"—")</f>
        <v>-129.23891472491277</v>
      </c>
      <c r="F12" s="16">
        <f t="shared" si="2"/>
        <v>450434.38749822509</v>
      </c>
      <c r="G12" s="16">
        <f t="shared" si="3"/>
        <v>850434.38749822509</v>
      </c>
      <c r="H12" s="16">
        <f t="shared" si="4"/>
        <v>423313.08010607847</v>
      </c>
    </row>
    <row r="13" spans="1:8" x14ac:dyDescent="0.25">
      <c r="A13" s="22" t="s">
        <v>157</v>
      </c>
      <c r="B13" s="23">
        <v>0</v>
      </c>
      <c r="C13" s="24">
        <f t="shared" si="0"/>
        <v>6.3600000000000004E-2</v>
      </c>
      <c r="D13" s="25">
        <f t="shared" si="1"/>
        <v>2491.556657775538</v>
      </c>
      <c r="E13" s="43">
        <f>0</f>
        <v>0</v>
      </c>
      <c r="F13" s="26">
        <f t="shared" si="2"/>
        <v>496960.3967991937</v>
      </c>
      <c r="G13" s="26">
        <f t="shared" si="3"/>
        <v>896960.3967991937</v>
      </c>
      <c r="H13" s="26">
        <f t="shared" si="4"/>
        <v>401355.51277923072</v>
      </c>
    </row>
    <row r="14" spans="1:8" x14ac:dyDescent="0.25">
      <c r="A14" s="3" t="s">
        <v>158</v>
      </c>
      <c r="B14" s="20">
        <v>5.0000000000000001E-3</v>
      </c>
      <c r="C14" s="18">
        <f t="shared" si="0"/>
        <v>6.8600000000000008E-2</v>
      </c>
      <c r="D14" s="21">
        <f t="shared" si="1"/>
        <v>2623.707387717272</v>
      </c>
      <c r="E14" s="44">
        <f>IFERROR(D14-$D$13,"—")</f>
        <v>132.15072994173397</v>
      </c>
      <c r="F14" s="16">
        <f t="shared" si="2"/>
        <v>544534.65957821789</v>
      </c>
      <c r="G14" s="16">
        <f t="shared" si="3"/>
        <v>944534.65957821789</v>
      </c>
      <c r="H14" s="16">
        <f t="shared" si="4"/>
        <v>381140.06336279528</v>
      </c>
    </row>
    <row r="15" spans="1:8" x14ac:dyDescent="0.25">
      <c r="A15" s="3" t="s">
        <v>159</v>
      </c>
      <c r="B15" s="20">
        <v>0.01</v>
      </c>
      <c r="C15" s="18">
        <f t="shared" si="0"/>
        <v>7.3599999999999999E-2</v>
      </c>
      <c r="D15" s="21">
        <f t="shared" si="1"/>
        <v>2758.6125331066632</v>
      </c>
      <c r="E15" s="44">
        <f>IFERROR(D15-$D$13,"—")</f>
        <v>267.05587533112521</v>
      </c>
      <c r="F15" s="16">
        <f t="shared" si="2"/>
        <v>593100.51191839878</v>
      </c>
      <c r="G15" s="16">
        <f t="shared" si="3"/>
        <v>993100.51191839878</v>
      </c>
      <c r="H15" s="16">
        <f t="shared" si="4"/>
        <v>362501.07182462222</v>
      </c>
    </row>
    <row r="16" spans="1:8" x14ac:dyDescent="0.25">
      <c r="A16" s="3" t="s">
        <v>160</v>
      </c>
      <c r="B16" s="20">
        <v>1.4999999999999999E-2</v>
      </c>
      <c r="C16" s="18">
        <f t="shared" si="0"/>
        <v>7.8600000000000003E-2</v>
      </c>
      <c r="D16" s="21">
        <f t="shared" si="1"/>
        <v>2896.1140570391472</v>
      </c>
      <c r="E16" s="44">
        <f>IFERROR(D16-$D$13,"—")</f>
        <v>404.55739926360911</v>
      </c>
      <c r="F16" s="16">
        <f t="shared" si="2"/>
        <v>642601.06053409295</v>
      </c>
      <c r="G16" s="16">
        <f t="shared" si="3"/>
        <v>1042601.0605340929</v>
      </c>
      <c r="H16" s="16">
        <f t="shared" si="4"/>
        <v>345290.26837511855</v>
      </c>
    </row>
  </sheetData>
  <mergeCells count="1">
    <mergeCell ref="A1:H1"/>
  </mergeCells>
  <conditionalFormatting sqref="E10:E1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11:E16">
    <cfRule type="cellIs" dxfId="19" priority="2" operator="lessThan">
      <formula>0</formula>
    </cfRule>
    <cfRule type="cellIs" dxfId="18" priority="3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69"/>
  <sheetViews>
    <sheetView workbookViewId="0">
      <selection sqref="A1:F1"/>
    </sheetView>
  </sheetViews>
  <sheetFormatPr defaultRowHeight="15" x14ac:dyDescent="0.25"/>
  <cols>
    <col min="1" max="1" width="17.5703125" customWidth="1"/>
    <col min="2" max="3" width="18" customWidth="1"/>
    <col min="4" max="5" width="16" customWidth="1"/>
    <col min="6" max="6" width="18" customWidth="1"/>
    <col min="7" max="7" width="4" customWidth="1"/>
    <col min="8" max="8" width="28" customWidth="1"/>
    <col min="9" max="9" width="18" customWidth="1"/>
  </cols>
  <sheetData>
    <row r="1" spans="1:9" ht="27.95" customHeight="1" x14ac:dyDescent="0.25">
      <c r="A1" s="78" t="s">
        <v>161</v>
      </c>
      <c r="B1" s="61"/>
      <c r="C1" s="61"/>
      <c r="D1" s="61"/>
      <c r="E1" s="61"/>
      <c r="F1" s="61"/>
    </row>
    <row r="2" spans="1:9" ht="15.75" x14ac:dyDescent="0.25">
      <c r="A2" s="6" t="s">
        <v>162</v>
      </c>
      <c r="H2" s="6" t="s">
        <v>163</v>
      </c>
    </row>
    <row r="3" spans="1:9" x14ac:dyDescent="0.25">
      <c r="A3" s="4" t="s">
        <v>120</v>
      </c>
      <c r="B3" s="16">
        <f>Assump_LoanAmt</f>
        <v>400000</v>
      </c>
      <c r="H3" s="27" t="s">
        <v>164</v>
      </c>
      <c r="I3" s="21">
        <f>SUM(C10:C369)</f>
        <v>896960.3967991937</v>
      </c>
    </row>
    <row r="4" spans="1:9" x14ac:dyDescent="0.25">
      <c r="A4" s="4" t="s">
        <v>165</v>
      </c>
      <c r="B4" s="18">
        <f>Assump_BaseRate</f>
        <v>6.3600000000000004E-2</v>
      </c>
      <c r="H4" s="27" t="s">
        <v>166</v>
      </c>
      <c r="I4" s="21">
        <f>SUM(D10:D369)</f>
        <v>400000.00000000012</v>
      </c>
    </row>
    <row r="5" spans="1:9" x14ac:dyDescent="0.25">
      <c r="A5" s="4" t="s">
        <v>167</v>
      </c>
      <c r="B5" s="28">
        <f>Assump_BaseRate/12</f>
        <v>5.3E-3</v>
      </c>
      <c r="H5" s="27" t="s">
        <v>168</v>
      </c>
      <c r="I5" s="21">
        <f>SUM(E10:E369)</f>
        <v>496960.39679919381</v>
      </c>
    </row>
    <row r="6" spans="1:9" x14ac:dyDescent="0.25">
      <c r="A6" s="4" t="s">
        <v>169</v>
      </c>
      <c r="B6" s="17">
        <f>Assump_TermMos</f>
        <v>360</v>
      </c>
      <c r="H6" s="27" t="s">
        <v>170</v>
      </c>
      <c r="I6" s="29" t="str">
        <f>IF(ABS(I4-Assump_LoanAmt)&lt;1,"✓ PASS","✗ FAIL")</f>
        <v>✓ PASS</v>
      </c>
    </row>
    <row r="7" spans="1:9" x14ac:dyDescent="0.25">
      <c r="H7" s="27" t="s">
        <v>171</v>
      </c>
      <c r="I7" s="21">
        <f>F369</f>
        <v>2.3646862246096134E-11</v>
      </c>
    </row>
    <row r="8" spans="1:9" x14ac:dyDescent="0.25">
      <c r="H8" s="27" t="s">
        <v>172</v>
      </c>
      <c r="I8" s="29" t="str">
        <f>IF(ABS(F369)&lt;1,"✓ PASS","✗ FAIL")</f>
        <v>✓ PASS</v>
      </c>
    </row>
    <row r="9" spans="1:9" x14ac:dyDescent="0.25">
      <c r="A9" s="8" t="s">
        <v>173</v>
      </c>
      <c r="B9" s="8" t="s">
        <v>174</v>
      </c>
      <c r="C9" s="8" t="s">
        <v>150</v>
      </c>
      <c r="D9" s="8" t="s">
        <v>175</v>
      </c>
      <c r="E9" s="8" t="s">
        <v>176</v>
      </c>
      <c r="F9" s="8" t="s">
        <v>177</v>
      </c>
    </row>
    <row r="10" spans="1:9" x14ac:dyDescent="0.25">
      <c r="A10" s="30">
        <f>1</f>
        <v>1</v>
      </c>
      <c r="B10" s="31">
        <f>Assump_LoanAmt</f>
        <v>400000</v>
      </c>
      <c r="C10" s="31">
        <f t="shared" ref="C10:C73" si="0">IFERROR(PMT(Assump_BaseRate/12,Assump_TermMos,-Assump_LoanAmt),0)</f>
        <v>2491.556657775538</v>
      </c>
      <c r="D10" s="31">
        <f t="shared" ref="D10:D73" si="1">IFERROR(PPMT(Assump_BaseRate/12,A10,Assump_TermMos,-Assump_LoanAmt),0)</f>
        <v>371.55665777553764</v>
      </c>
      <c r="E10" s="31">
        <f t="shared" ref="E10:E73" si="2">IFERROR(IPMT(Assump_BaseRate/12,A10,Assump_TermMos,-Assump_LoanAmt),0)</f>
        <v>2120</v>
      </c>
      <c r="F10" s="31">
        <f t="shared" ref="F10:F73" si="3">IFERROR(B10-D10,0)</f>
        <v>399628.44334222446</v>
      </c>
    </row>
    <row r="11" spans="1:9" x14ac:dyDescent="0.25">
      <c r="A11" s="30">
        <f t="shared" ref="A11:A74" si="4">A10+1</f>
        <v>2</v>
      </c>
      <c r="B11" s="31">
        <f t="shared" ref="B11:B74" si="5">F10</f>
        <v>399628.44334222446</v>
      </c>
      <c r="C11" s="31">
        <f t="shared" si="0"/>
        <v>2491.556657775538</v>
      </c>
      <c r="D11" s="31">
        <f t="shared" si="1"/>
        <v>373.525908061748</v>
      </c>
      <c r="E11" s="31">
        <f t="shared" si="2"/>
        <v>2118.0307497137896</v>
      </c>
      <c r="F11" s="31">
        <f t="shared" si="3"/>
        <v>399254.91743416269</v>
      </c>
    </row>
    <row r="12" spans="1:9" x14ac:dyDescent="0.25">
      <c r="A12" s="30">
        <f t="shared" si="4"/>
        <v>3</v>
      </c>
      <c r="B12" s="31">
        <f t="shared" si="5"/>
        <v>399254.91743416269</v>
      </c>
      <c r="C12" s="31">
        <f t="shared" si="0"/>
        <v>2491.556657775538</v>
      </c>
      <c r="D12" s="31">
        <f t="shared" si="1"/>
        <v>375.50559537447532</v>
      </c>
      <c r="E12" s="31">
        <f t="shared" si="2"/>
        <v>2116.0510624010622</v>
      </c>
      <c r="F12" s="31">
        <f t="shared" si="3"/>
        <v>398879.41183878819</v>
      </c>
    </row>
    <row r="13" spans="1:9" x14ac:dyDescent="0.25">
      <c r="A13" s="30">
        <f t="shared" si="4"/>
        <v>4</v>
      </c>
      <c r="B13" s="31">
        <f t="shared" si="5"/>
        <v>398879.41183878819</v>
      </c>
      <c r="C13" s="31">
        <f t="shared" si="0"/>
        <v>2491.556657775538</v>
      </c>
      <c r="D13" s="31">
        <f t="shared" si="1"/>
        <v>377.49577502996004</v>
      </c>
      <c r="E13" s="31">
        <f t="shared" si="2"/>
        <v>2114.0608827455781</v>
      </c>
      <c r="F13" s="31">
        <f t="shared" si="3"/>
        <v>398501.91606375825</v>
      </c>
    </row>
    <row r="14" spans="1:9" x14ac:dyDescent="0.25">
      <c r="A14" s="30">
        <f t="shared" si="4"/>
        <v>5</v>
      </c>
      <c r="B14" s="31">
        <f t="shared" si="5"/>
        <v>398501.91606375825</v>
      </c>
      <c r="C14" s="31">
        <f t="shared" si="0"/>
        <v>2491.556657775538</v>
      </c>
      <c r="D14" s="31">
        <f t="shared" si="1"/>
        <v>379.49650263761885</v>
      </c>
      <c r="E14" s="31">
        <f t="shared" si="2"/>
        <v>2112.0601551379186</v>
      </c>
      <c r="F14" s="31">
        <f t="shared" si="3"/>
        <v>398122.41956112062</v>
      </c>
    </row>
    <row r="15" spans="1:9" x14ac:dyDescent="0.25">
      <c r="A15" s="30">
        <f t="shared" si="4"/>
        <v>6</v>
      </c>
      <c r="B15" s="31">
        <f t="shared" si="5"/>
        <v>398122.41956112062</v>
      </c>
      <c r="C15" s="31">
        <f t="shared" si="0"/>
        <v>2491.556657775538</v>
      </c>
      <c r="D15" s="31">
        <f t="shared" si="1"/>
        <v>381.50783410159818</v>
      </c>
      <c r="E15" s="31">
        <f t="shared" si="2"/>
        <v>2110.0488236739398</v>
      </c>
      <c r="F15" s="31">
        <f t="shared" si="3"/>
        <v>397740.911727019</v>
      </c>
    </row>
    <row r="16" spans="1:9" x14ac:dyDescent="0.25">
      <c r="A16" s="30">
        <f t="shared" si="4"/>
        <v>7</v>
      </c>
      <c r="B16" s="31">
        <f t="shared" si="5"/>
        <v>397740.911727019</v>
      </c>
      <c r="C16" s="31">
        <f t="shared" si="0"/>
        <v>2491.556657775538</v>
      </c>
      <c r="D16" s="31">
        <f t="shared" si="1"/>
        <v>383.52982562233672</v>
      </c>
      <c r="E16" s="31">
        <f t="shared" si="2"/>
        <v>2108.0268321532012</v>
      </c>
      <c r="F16" s="31">
        <f t="shared" si="3"/>
        <v>397357.38190139667</v>
      </c>
    </row>
    <row r="17" spans="1:6" x14ac:dyDescent="0.25">
      <c r="A17" s="30">
        <f t="shared" si="4"/>
        <v>8</v>
      </c>
      <c r="B17" s="31">
        <f t="shared" si="5"/>
        <v>397357.38190139667</v>
      </c>
      <c r="C17" s="31">
        <f t="shared" si="0"/>
        <v>2491.556657775538</v>
      </c>
      <c r="D17" s="31">
        <f t="shared" si="1"/>
        <v>385.56253369813504</v>
      </c>
      <c r="E17" s="31">
        <f t="shared" si="2"/>
        <v>2105.9941240774028</v>
      </c>
      <c r="F17" s="31">
        <f t="shared" si="3"/>
        <v>396971.81936769851</v>
      </c>
    </row>
    <row r="18" spans="1:6" x14ac:dyDescent="0.25">
      <c r="A18" s="30">
        <f t="shared" si="4"/>
        <v>9</v>
      </c>
      <c r="B18" s="31">
        <f t="shared" si="5"/>
        <v>396971.81936769851</v>
      </c>
      <c r="C18" s="31">
        <f t="shared" si="0"/>
        <v>2491.556657775538</v>
      </c>
      <c r="D18" s="31">
        <f t="shared" si="1"/>
        <v>387.60601512673514</v>
      </c>
      <c r="E18" s="31">
        <f t="shared" si="2"/>
        <v>2103.9506426488028</v>
      </c>
      <c r="F18" s="31">
        <f t="shared" si="3"/>
        <v>396584.21335257177</v>
      </c>
    </row>
    <row r="19" spans="1:6" x14ac:dyDescent="0.25">
      <c r="A19" s="30">
        <f t="shared" si="4"/>
        <v>10</v>
      </c>
      <c r="B19" s="31">
        <f t="shared" si="5"/>
        <v>396584.21335257177</v>
      </c>
      <c r="C19" s="31">
        <f t="shared" si="0"/>
        <v>2491.556657775538</v>
      </c>
      <c r="D19" s="31">
        <f t="shared" si="1"/>
        <v>389.66032700690693</v>
      </c>
      <c r="E19" s="31">
        <f t="shared" si="2"/>
        <v>2101.8963307686308</v>
      </c>
      <c r="F19" s="31">
        <f t="shared" si="3"/>
        <v>396194.55302556488</v>
      </c>
    </row>
    <row r="20" spans="1:6" x14ac:dyDescent="0.25">
      <c r="A20" s="30">
        <f t="shared" si="4"/>
        <v>11</v>
      </c>
      <c r="B20" s="31">
        <f t="shared" si="5"/>
        <v>396194.55302556488</v>
      </c>
      <c r="C20" s="31">
        <f t="shared" si="0"/>
        <v>2491.556657775538</v>
      </c>
      <c r="D20" s="31">
        <f t="shared" si="1"/>
        <v>391.72552674004351</v>
      </c>
      <c r="E20" s="31">
        <f t="shared" si="2"/>
        <v>2099.8311310354943</v>
      </c>
      <c r="F20" s="31">
        <f t="shared" si="3"/>
        <v>395802.82749882486</v>
      </c>
    </row>
    <row r="21" spans="1:6" x14ac:dyDescent="0.25">
      <c r="A21" s="30">
        <f t="shared" si="4"/>
        <v>12</v>
      </c>
      <c r="B21" s="31">
        <f t="shared" si="5"/>
        <v>395802.82749882486</v>
      </c>
      <c r="C21" s="31">
        <f t="shared" si="0"/>
        <v>2491.556657775538</v>
      </c>
      <c r="D21" s="31">
        <f t="shared" si="1"/>
        <v>393.80167203176575</v>
      </c>
      <c r="E21" s="31">
        <f t="shared" si="2"/>
        <v>2097.7549857437721</v>
      </c>
      <c r="F21" s="31">
        <f t="shared" si="3"/>
        <v>395409.02582679311</v>
      </c>
    </row>
    <row r="22" spans="1:6" x14ac:dyDescent="0.25">
      <c r="A22" s="30">
        <f t="shared" si="4"/>
        <v>13</v>
      </c>
      <c r="B22" s="31">
        <f t="shared" si="5"/>
        <v>395409.02582679311</v>
      </c>
      <c r="C22" s="31">
        <f t="shared" si="0"/>
        <v>2491.556657775538</v>
      </c>
      <c r="D22" s="31">
        <f t="shared" si="1"/>
        <v>395.8888208935341</v>
      </c>
      <c r="E22" s="31">
        <f t="shared" si="2"/>
        <v>2095.6678368820039</v>
      </c>
      <c r="F22" s="31">
        <f t="shared" si="3"/>
        <v>395013.13700589957</v>
      </c>
    </row>
    <row r="23" spans="1:6" x14ac:dyDescent="0.25">
      <c r="A23" s="30">
        <f t="shared" si="4"/>
        <v>14</v>
      </c>
      <c r="B23" s="31">
        <f t="shared" si="5"/>
        <v>395013.13700589957</v>
      </c>
      <c r="C23" s="31">
        <f t="shared" si="0"/>
        <v>2491.556657775538</v>
      </c>
      <c r="D23" s="31">
        <f t="shared" si="1"/>
        <v>397.98703164426979</v>
      </c>
      <c r="E23" s="31">
        <f t="shared" si="2"/>
        <v>2093.5696261312683</v>
      </c>
      <c r="F23" s="31">
        <f t="shared" si="3"/>
        <v>394615.1499742553</v>
      </c>
    </row>
    <row r="24" spans="1:6" x14ac:dyDescent="0.25">
      <c r="A24" s="30">
        <f t="shared" si="4"/>
        <v>15</v>
      </c>
      <c r="B24" s="31">
        <f t="shared" si="5"/>
        <v>394615.1499742553</v>
      </c>
      <c r="C24" s="31">
        <f t="shared" si="0"/>
        <v>2491.556657775538</v>
      </c>
      <c r="D24" s="31">
        <f t="shared" si="1"/>
        <v>400.0963629119845</v>
      </c>
      <c r="E24" s="31">
        <f t="shared" si="2"/>
        <v>2091.4602948635534</v>
      </c>
      <c r="F24" s="31">
        <f t="shared" si="3"/>
        <v>394215.05361134332</v>
      </c>
    </row>
    <row r="25" spans="1:6" x14ac:dyDescent="0.25">
      <c r="A25" s="30">
        <f t="shared" si="4"/>
        <v>16</v>
      </c>
      <c r="B25" s="31">
        <f t="shared" si="5"/>
        <v>394215.05361134332</v>
      </c>
      <c r="C25" s="31">
        <f t="shared" si="0"/>
        <v>2491.556657775538</v>
      </c>
      <c r="D25" s="31">
        <f t="shared" si="1"/>
        <v>402.21687363541798</v>
      </c>
      <c r="E25" s="31">
        <f t="shared" si="2"/>
        <v>2089.3397841401197</v>
      </c>
      <c r="F25" s="31">
        <f t="shared" si="3"/>
        <v>393812.8367377079</v>
      </c>
    </row>
    <row r="26" spans="1:6" x14ac:dyDescent="0.25">
      <c r="A26" s="30">
        <f t="shared" si="4"/>
        <v>17</v>
      </c>
      <c r="B26" s="31">
        <f t="shared" si="5"/>
        <v>393812.8367377079</v>
      </c>
      <c r="C26" s="31">
        <f t="shared" si="0"/>
        <v>2491.556657775538</v>
      </c>
      <c r="D26" s="31">
        <f t="shared" si="1"/>
        <v>404.34862306568567</v>
      </c>
      <c r="E26" s="31">
        <f t="shared" si="2"/>
        <v>2087.2080347098522</v>
      </c>
      <c r="F26" s="31">
        <f t="shared" si="3"/>
        <v>393408.48811464221</v>
      </c>
    </row>
    <row r="27" spans="1:6" x14ac:dyDescent="0.25">
      <c r="A27" s="30">
        <f t="shared" si="4"/>
        <v>18</v>
      </c>
      <c r="B27" s="31">
        <f t="shared" si="5"/>
        <v>393408.48811464221</v>
      </c>
      <c r="C27" s="31">
        <f t="shared" si="0"/>
        <v>2491.556657775538</v>
      </c>
      <c r="D27" s="31">
        <f t="shared" si="1"/>
        <v>406.49167076793378</v>
      </c>
      <c r="E27" s="31">
        <f t="shared" si="2"/>
        <v>2085.064987007604</v>
      </c>
      <c r="F27" s="31">
        <f t="shared" si="3"/>
        <v>393001.99644387426</v>
      </c>
    </row>
    <row r="28" spans="1:6" x14ac:dyDescent="0.25">
      <c r="A28" s="30">
        <f t="shared" si="4"/>
        <v>19</v>
      </c>
      <c r="B28" s="31">
        <f t="shared" si="5"/>
        <v>393001.99644387426</v>
      </c>
      <c r="C28" s="31">
        <f t="shared" si="0"/>
        <v>2491.556657775538</v>
      </c>
      <c r="D28" s="31">
        <f t="shared" si="1"/>
        <v>408.64607662300392</v>
      </c>
      <c r="E28" s="31">
        <f t="shared" si="2"/>
        <v>2082.9105811525337</v>
      </c>
      <c r="F28" s="31">
        <f t="shared" si="3"/>
        <v>392593.35036725126</v>
      </c>
    </row>
    <row r="29" spans="1:6" x14ac:dyDescent="0.25">
      <c r="A29" s="30">
        <f t="shared" si="4"/>
        <v>20</v>
      </c>
      <c r="B29" s="31">
        <f t="shared" si="5"/>
        <v>392593.35036725126</v>
      </c>
      <c r="C29" s="31">
        <f t="shared" si="0"/>
        <v>2491.556657775538</v>
      </c>
      <c r="D29" s="31">
        <f t="shared" si="1"/>
        <v>410.81190082910581</v>
      </c>
      <c r="E29" s="31">
        <f t="shared" si="2"/>
        <v>2080.7447569464321</v>
      </c>
      <c r="F29" s="31">
        <f t="shared" si="3"/>
        <v>392182.53846642218</v>
      </c>
    </row>
    <row r="30" spans="1:6" x14ac:dyDescent="0.25">
      <c r="A30" s="30">
        <f t="shared" si="4"/>
        <v>21</v>
      </c>
      <c r="B30" s="31">
        <f t="shared" si="5"/>
        <v>392182.53846642218</v>
      </c>
      <c r="C30" s="31">
        <f t="shared" si="0"/>
        <v>2491.556657775538</v>
      </c>
      <c r="D30" s="31">
        <f t="shared" si="1"/>
        <v>412.98920390350003</v>
      </c>
      <c r="E30" s="31">
        <f t="shared" si="2"/>
        <v>2078.5674538720377</v>
      </c>
      <c r="F30" s="31">
        <f t="shared" si="3"/>
        <v>391769.5492625187</v>
      </c>
    </row>
    <row r="31" spans="1:6" x14ac:dyDescent="0.25">
      <c r="A31" s="30">
        <f t="shared" si="4"/>
        <v>22</v>
      </c>
      <c r="B31" s="31">
        <f t="shared" si="5"/>
        <v>391769.5492625187</v>
      </c>
      <c r="C31" s="31">
        <f t="shared" si="0"/>
        <v>2491.556657775538</v>
      </c>
      <c r="D31" s="31">
        <f t="shared" si="1"/>
        <v>415.17804668418859</v>
      </c>
      <c r="E31" s="31">
        <f t="shared" si="2"/>
        <v>2076.3786110913493</v>
      </c>
      <c r="F31" s="31">
        <f t="shared" si="3"/>
        <v>391354.37121583452</v>
      </c>
    </row>
    <row r="32" spans="1:6" x14ac:dyDescent="0.25">
      <c r="A32" s="30">
        <f t="shared" si="4"/>
        <v>23</v>
      </c>
      <c r="B32" s="31">
        <f t="shared" si="5"/>
        <v>391354.37121583452</v>
      </c>
      <c r="C32" s="31">
        <f t="shared" si="0"/>
        <v>2491.556657775538</v>
      </c>
      <c r="D32" s="31">
        <f t="shared" si="1"/>
        <v>417.37849033161478</v>
      </c>
      <c r="E32" s="31">
        <f t="shared" si="2"/>
        <v>2074.178167443923</v>
      </c>
      <c r="F32" s="31">
        <f t="shared" si="3"/>
        <v>390936.99272550287</v>
      </c>
    </row>
    <row r="33" spans="1:6" x14ac:dyDescent="0.25">
      <c r="A33" s="30">
        <f t="shared" si="4"/>
        <v>24</v>
      </c>
      <c r="B33" s="31">
        <f t="shared" si="5"/>
        <v>390936.99272550287</v>
      </c>
      <c r="C33" s="31">
        <f t="shared" si="0"/>
        <v>2491.556657775538</v>
      </c>
      <c r="D33" s="31">
        <f t="shared" si="1"/>
        <v>419.59059633037236</v>
      </c>
      <c r="E33" s="31">
        <f t="shared" si="2"/>
        <v>2071.9660614451655</v>
      </c>
      <c r="F33" s="31">
        <f t="shared" si="3"/>
        <v>390517.40212917252</v>
      </c>
    </row>
    <row r="34" spans="1:6" x14ac:dyDescent="0.25">
      <c r="A34" s="30">
        <f t="shared" si="4"/>
        <v>25</v>
      </c>
      <c r="B34" s="31">
        <f t="shared" si="5"/>
        <v>390517.40212917252</v>
      </c>
      <c r="C34" s="31">
        <f t="shared" si="0"/>
        <v>2491.556657775538</v>
      </c>
      <c r="D34" s="31">
        <f t="shared" si="1"/>
        <v>421.81442649092321</v>
      </c>
      <c r="E34" s="31">
        <f t="shared" si="2"/>
        <v>2069.7422312846143</v>
      </c>
      <c r="F34" s="31">
        <f t="shared" si="3"/>
        <v>390095.5877026816</v>
      </c>
    </row>
    <row r="35" spans="1:6" x14ac:dyDescent="0.25">
      <c r="A35" s="30">
        <f t="shared" si="4"/>
        <v>26</v>
      </c>
      <c r="B35" s="31">
        <f t="shared" si="5"/>
        <v>390095.5877026816</v>
      </c>
      <c r="C35" s="31">
        <f t="shared" si="0"/>
        <v>2491.556657775538</v>
      </c>
      <c r="D35" s="31">
        <f t="shared" si="1"/>
        <v>424.05004295132522</v>
      </c>
      <c r="E35" s="31">
        <f t="shared" si="2"/>
        <v>2067.5066148242126</v>
      </c>
      <c r="F35" s="31">
        <f t="shared" si="3"/>
        <v>389671.5376597303</v>
      </c>
    </row>
    <row r="36" spans="1:6" x14ac:dyDescent="0.25">
      <c r="A36" s="30">
        <f t="shared" si="4"/>
        <v>27</v>
      </c>
      <c r="B36" s="31">
        <f t="shared" si="5"/>
        <v>389671.5376597303</v>
      </c>
      <c r="C36" s="31">
        <f t="shared" si="0"/>
        <v>2491.556657775538</v>
      </c>
      <c r="D36" s="31">
        <f t="shared" si="1"/>
        <v>426.29750817896723</v>
      </c>
      <c r="E36" s="31">
        <f t="shared" si="2"/>
        <v>2065.2591495965708</v>
      </c>
      <c r="F36" s="31">
        <f t="shared" si="3"/>
        <v>389245.24015155132</v>
      </c>
    </row>
    <row r="37" spans="1:6" x14ac:dyDescent="0.25">
      <c r="A37" s="30">
        <f t="shared" si="4"/>
        <v>28</v>
      </c>
      <c r="B37" s="31">
        <f t="shared" si="5"/>
        <v>389245.24015155132</v>
      </c>
      <c r="C37" s="31">
        <f t="shared" si="0"/>
        <v>2491.556657775538</v>
      </c>
      <c r="D37" s="31">
        <f t="shared" si="1"/>
        <v>428.5568849723158</v>
      </c>
      <c r="E37" s="31">
        <f t="shared" si="2"/>
        <v>2062.9997728032222</v>
      </c>
      <c r="F37" s="31">
        <f t="shared" si="3"/>
        <v>388816.683266579</v>
      </c>
    </row>
    <row r="38" spans="1:6" x14ac:dyDescent="0.25">
      <c r="A38" s="30">
        <f t="shared" si="4"/>
        <v>29</v>
      </c>
      <c r="B38" s="31">
        <f t="shared" si="5"/>
        <v>388816.683266579</v>
      </c>
      <c r="C38" s="31">
        <f t="shared" si="0"/>
        <v>2491.556657775538</v>
      </c>
      <c r="D38" s="31">
        <f t="shared" si="1"/>
        <v>430.82823646266905</v>
      </c>
      <c r="E38" s="31">
        <f t="shared" si="2"/>
        <v>2060.7284213128692</v>
      </c>
      <c r="F38" s="31">
        <f t="shared" si="3"/>
        <v>388385.85503011633</v>
      </c>
    </row>
    <row r="39" spans="1:6" x14ac:dyDescent="0.25">
      <c r="A39" s="30">
        <f t="shared" si="4"/>
        <v>30</v>
      </c>
      <c r="B39" s="31">
        <f t="shared" si="5"/>
        <v>388385.85503011633</v>
      </c>
      <c r="C39" s="31">
        <f t="shared" si="0"/>
        <v>2491.556657775538</v>
      </c>
      <c r="D39" s="31">
        <f t="shared" si="1"/>
        <v>433.11162611592118</v>
      </c>
      <c r="E39" s="31">
        <f t="shared" si="2"/>
        <v>2058.4450316596167</v>
      </c>
      <c r="F39" s="31">
        <f t="shared" si="3"/>
        <v>387952.74340400042</v>
      </c>
    </row>
    <row r="40" spans="1:6" x14ac:dyDescent="0.25">
      <c r="A40" s="30">
        <f t="shared" si="4"/>
        <v>31</v>
      </c>
      <c r="B40" s="31">
        <f t="shared" si="5"/>
        <v>387952.74340400042</v>
      </c>
      <c r="C40" s="31">
        <f t="shared" si="0"/>
        <v>2491.556657775538</v>
      </c>
      <c r="D40" s="31">
        <f t="shared" si="1"/>
        <v>435.40711773433554</v>
      </c>
      <c r="E40" s="31">
        <f t="shared" si="2"/>
        <v>2056.1495400412027</v>
      </c>
      <c r="F40" s="31">
        <f t="shared" si="3"/>
        <v>387517.3362862661</v>
      </c>
    </row>
    <row r="41" spans="1:6" x14ac:dyDescent="0.25">
      <c r="A41" s="30">
        <f t="shared" si="4"/>
        <v>32</v>
      </c>
      <c r="B41" s="31">
        <f t="shared" si="5"/>
        <v>387517.3362862661</v>
      </c>
      <c r="C41" s="31">
        <f t="shared" si="0"/>
        <v>2491.556657775538</v>
      </c>
      <c r="D41" s="31">
        <f t="shared" si="1"/>
        <v>437.71477545832749</v>
      </c>
      <c r="E41" s="31">
        <f t="shared" si="2"/>
        <v>2053.8418823172105</v>
      </c>
      <c r="F41" s="31">
        <f t="shared" si="3"/>
        <v>387079.62151080777</v>
      </c>
    </row>
    <row r="42" spans="1:6" x14ac:dyDescent="0.25">
      <c r="A42" s="30">
        <f t="shared" si="4"/>
        <v>33</v>
      </c>
      <c r="B42" s="31">
        <f t="shared" si="5"/>
        <v>387079.62151080777</v>
      </c>
      <c r="C42" s="31">
        <f t="shared" si="0"/>
        <v>2491.556657775538</v>
      </c>
      <c r="D42" s="31">
        <f t="shared" si="1"/>
        <v>440.03466376825679</v>
      </c>
      <c r="E42" s="31">
        <f t="shared" si="2"/>
        <v>2051.5219940072807</v>
      </c>
      <c r="F42" s="31">
        <f t="shared" si="3"/>
        <v>386639.58684703952</v>
      </c>
    </row>
    <row r="43" spans="1:6" x14ac:dyDescent="0.25">
      <c r="A43" s="30">
        <f t="shared" si="4"/>
        <v>34</v>
      </c>
      <c r="B43" s="31">
        <f t="shared" si="5"/>
        <v>386639.58684703952</v>
      </c>
      <c r="C43" s="31">
        <f t="shared" si="0"/>
        <v>2491.556657775538</v>
      </c>
      <c r="D43" s="31">
        <f t="shared" si="1"/>
        <v>442.36684748622849</v>
      </c>
      <c r="E43" s="31">
        <f t="shared" si="2"/>
        <v>2049.1898102893097</v>
      </c>
      <c r="F43" s="31">
        <f t="shared" si="3"/>
        <v>386197.21999955329</v>
      </c>
    </row>
    <row r="44" spans="1:6" x14ac:dyDescent="0.25">
      <c r="A44" s="30">
        <f t="shared" si="4"/>
        <v>35</v>
      </c>
      <c r="B44" s="31">
        <f t="shared" si="5"/>
        <v>386197.21999955329</v>
      </c>
      <c r="C44" s="31">
        <f t="shared" si="0"/>
        <v>2491.556657775538</v>
      </c>
      <c r="D44" s="31">
        <f t="shared" si="1"/>
        <v>444.71139177790548</v>
      </c>
      <c r="E44" s="31">
        <f t="shared" si="2"/>
        <v>2046.8452659976324</v>
      </c>
      <c r="F44" s="31">
        <f t="shared" si="3"/>
        <v>385752.50860777538</v>
      </c>
    </row>
    <row r="45" spans="1:6" x14ac:dyDescent="0.25">
      <c r="A45" s="30">
        <f t="shared" si="4"/>
        <v>36</v>
      </c>
      <c r="B45" s="31">
        <f t="shared" si="5"/>
        <v>385752.50860777538</v>
      </c>
      <c r="C45" s="31">
        <f t="shared" si="0"/>
        <v>2491.556657775538</v>
      </c>
      <c r="D45" s="31">
        <f t="shared" si="1"/>
        <v>447.06836215432838</v>
      </c>
      <c r="E45" s="31">
        <f t="shared" si="2"/>
        <v>2044.4882956212095</v>
      </c>
      <c r="F45" s="31">
        <f t="shared" si="3"/>
        <v>385305.44024562108</v>
      </c>
    </row>
    <row r="46" spans="1:6" x14ac:dyDescent="0.25">
      <c r="A46" s="30">
        <f t="shared" si="4"/>
        <v>37</v>
      </c>
      <c r="B46" s="31">
        <f t="shared" si="5"/>
        <v>385305.44024562108</v>
      </c>
      <c r="C46" s="31">
        <f t="shared" si="0"/>
        <v>2491.556657775538</v>
      </c>
      <c r="D46" s="31">
        <f t="shared" si="1"/>
        <v>449.43782447374622</v>
      </c>
      <c r="E46" s="31">
        <f t="shared" si="2"/>
        <v>2042.1188333017915</v>
      </c>
      <c r="F46" s="31">
        <f t="shared" si="3"/>
        <v>384856.00242114731</v>
      </c>
    </row>
    <row r="47" spans="1:6" x14ac:dyDescent="0.25">
      <c r="A47" s="30">
        <f t="shared" si="4"/>
        <v>38</v>
      </c>
      <c r="B47" s="31">
        <f t="shared" si="5"/>
        <v>384856.00242114731</v>
      </c>
      <c r="C47" s="31">
        <f t="shared" si="0"/>
        <v>2491.556657775538</v>
      </c>
      <c r="D47" s="31">
        <f t="shared" si="1"/>
        <v>451.8198449434571</v>
      </c>
      <c r="E47" s="31">
        <f t="shared" si="2"/>
        <v>2039.7368128320807</v>
      </c>
      <c r="F47" s="31">
        <f t="shared" si="3"/>
        <v>384404.18257620384</v>
      </c>
    </row>
    <row r="48" spans="1:6" x14ac:dyDescent="0.25">
      <c r="A48" s="30">
        <f t="shared" si="4"/>
        <v>39</v>
      </c>
      <c r="B48" s="31">
        <f t="shared" si="5"/>
        <v>384404.18257620384</v>
      </c>
      <c r="C48" s="31">
        <f t="shared" si="0"/>
        <v>2491.556657775538</v>
      </c>
      <c r="D48" s="31">
        <f t="shared" si="1"/>
        <v>454.21449012165743</v>
      </c>
      <c r="E48" s="31">
        <f t="shared" si="2"/>
        <v>2037.3421676538803</v>
      </c>
      <c r="F48" s="31">
        <f t="shared" si="3"/>
        <v>383949.9680860822</v>
      </c>
    </row>
    <row r="49" spans="1:6" x14ac:dyDescent="0.25">
      <c r="A49" s="30">
        <f t="shared" si="4"/>
        <v>40</v>
      </c>
      <c r="B49" s="31">
        <f t="shared" si="5"/>
        <v>383949.9680860822</v>
      </c>
      <c r="C49" s="31">
        <f t="shared" si="0"/>
        <v>2491.556657775538</v>
      </c>
      <c r="D49" s="31">
        <f t="shared" si="1"/>
        <v>456.62182691930229</v>
      </c>
      <c r="E49" s="31">
        <f t="shared" si="2"/>
        <v>2034.9348308562357</v>
      </c>
      <c r="F49" s="31">
        <f t="shared" si="3"/>
        <v>383493.34625916288</v>
      </c>
    </row>
    <row r="50" spans="1:6" x14ac:dyDescent="0.25">
      <c r="A50" s="30">
        <f t="shared" si="4"/>
        <v>41</v>
      </c>
      <c r="B50" s="31">
        <f t="shared" si="5"/>
        <v>383493.34625916288</v>
      </c>
      <c r="C50" s="31">
        <f t="shared" si="0"/>
        <v>2491.556657775538</v>
      </c>
      <c r="D50" s="31">
        <f t="shared" si="1"/>
        <v>459.04192260197465</v>
      </c>
      <c r="E50" s="31">
        <f t="shared" si="2"/>
        <v>2032.5147351735632</v>
      </c>
      <c r="F50" s="31">
        <f t="shared" si="3"/>
        <v>383034.30433656089</v>
      </c>
    </row>
    <row r="51" spans="1:6" x14ac:dyDescent="0.25">
      <c r="A51" s="30">
        <f t="shared" si="4"/>
        <v>42</v>
      </c>
      <c r="B51" s="31">
        <f t="shared" si="5"/>
        <v>383034.30433656089</v>
      </c>
      <c r="C51" s="31">
        <f t="shared" si="0"/>
        <v>2491.556657775538</v>
      </c>
      <c r="D51" s="31">
        <f t="shared" si="1"/>
        <v>461.47484479176512</v>
      </c>
      <c r="E51" s="31">
        <f t="shared" si="2"/>
        <v>2030.0818129837728</v>
      </c>
      <c r="F51" s="31">
        <f t="shared" si="3"/>
        <v>382572.82949176914</v>
      </c>
    </row>
    <row r="52" spans="1:6" x14ac:dyDescent="0.25">
      <c r="A52" s="30">
        <f t="shared" si="4"/>
        <v>43</v>
      </c>
      <c r="B52" s="31">
        <f t="shared" si="5"/>
        <v>382572.82949176914</v>
      </c>
      <c r="C52" s="31">
        <f t="shared" si="0"/>
        <v>2491.556657775538</v>
      </c>
      <c r="D52" s="31">
        <f t="shared" si="1"/>
        <v>463.92066146916136</v>
      </c>
      <c r="E52" s="31">
        <f t="shared" si="2"/>
        <v>2027.6359963063765</v>
      </c>
      <c r="F52" s="31">
        <f t="shared" si="3"/>
        <v>382108.90883029997</v>
      </c>
    </row>
    <row r="53" spans="1:6" x14ac:dyDescent="0.25">
      <c r="A53" s="30">
        <f t="shared" si="4"/>
        <v>44</v>
      </c>
      <c r="B53" s="31">
        <f t="shared" si="5"/>
        <v>382108.90883029997</v>
      </c>
      <c r="C53" s="31">
        <f t="shared" si="0"/>
        <v>2491.556657775538</v>
      </c>
      <c r="D53" s="31">
        <f t="shared" si="1"/>
        <v>466.3794409749479</v>
      </c>
      <c r="E53" s="31">
        <f t="shared" si="2"/>
        <v>2025.1772168005898</v>
      </c>
      <c r="F53" s="31">
        <f t="shared" si="3"/>
        <v>381642.52938932501</v>
      </c>
    </row>
    <row r="54" spans="1:6" x14ac:dyDescent="0.25">
      <c r="A54" s="30">
        <f t="shared" si="4"/>
        <v>45</v>
      </c>
      <c r="B54" s="31">
        <f t="shared" si="5"/>
        <v>381642.52938932501</v>
      </c>
      <c r="C54" s="31">
        <f t="shared" si="0"/>
        <v>2491.556657775538</v>
      </c>
      <c r="D54" s="31">
        <f t="shared" si="1"/>
        <v>468.85125201211514</v>
      </c>
      <c r="E54" s="31">
        <f t="shared" si="2"/>
        <v>2022.705405763423</v>
      </c>
      <c r="F54" s="31">
        <f t="shared" si="3"/>
        <v>381173.67813731288</v>
      </c>
    </row>
    <row r="55" spans="1:6" x14ac:dyDescent="0.25">
      <c r="A55" s="30">
        <f t="shared" si="4"/>
        <v>46</v>
      </c>
      <c r="B55" s="31">
        <f t="shared" si="5"/>
        <v>381173.67813731288</v>
      </c>
      <c r="C55" s="31">
        <f t="shared" si="0"/>
        <v>2491.556657775538</v>
      </c>
      <c r="D55" s="31">
        <f t="shared" si="1"/>
        <v>471.33616364777924</v>
      </c>
      <c r="E55" s="31">
        <f t="shared" si="2"/>
        <v>2020.2204941277585</v>
      </c>
      <c r="F55" s="31">
        <f t="shared" si="3"/>
        <v>380702.34197366511</v>
      </c>
    </row>
    <row r="56" spans="1:6" x14ac:dyDescent="0.25">
      <c r="A56" s="30">
        <f t="shared" si="4"/>
        <v>47</v>
      </c>
      <c r="B56" s="31">
        <f t="shared" si="5"/>
        <v>380702.34197366511</v>
      </c>
      <c r="C56" s="31">
        <f t="shared" si="0"/>
        <v>2491.556657775538</v>
      </c>
      <c r="D56" s="31">
        <f t="shared" si="1"/>
        <v>473.83424531511264</v>
      </c>
      <c r="E56" s="31">
        <f t="shared" si="2"/>
        <v>2017.7224124604252</v>
      </c>
      <c r="F56" s="31">
        <f t="shared" si="3"/>
        <v>380228.50772835</v>
      </c>
    </row>
    <row r="57" spans="1:6" x14ac:dyDescent="0.25">
      <c r="A57" s="30">
        <f t="shared" si="4"/>
        <v>48</v>
      </c>
      <c r="B57" s="31">
        <f t="shared" si="5"/>
        <v>380228.50772835</v>
      </c>
      <c r="C57" s="31">
        <f t="shared" si="0"/>
        <v>2491.556657775538</v>
      </c>
      <c r="D57" s="31">
        <f t="shared" si="1"/>
        <v>476.34556681528267</v>
      </c>
      <c r="E57" s="31">
        <f t="shared" si="2"/>
        <v>2015.211090960255</v>
      </c>
      <c r="F57" s="31">
        <f t="shared" si="3"/>
        <v>379752.16216153471</v>
      </c>
    </row>
    <row r="58" spans="1:6" x14ac:dyDescent="0.25">
      <c r="A58" s="30">
        <f t="shared" si="4"/>
        <v>49</v>
      </c>
      <c r="B58" s="31">
        <f t="shared" si="5"/>
        <v>379752.16216153471</v>
      </c>
      <c r="C58" s="31">
        <f t="shared" si="0"/>
        <v>2491.556657775538</v>
      </c>
      <c r="D58" s="31">
        <f t="shared" si="1"/>
        <v>478.8701983194037</v>
      </c>
      <c r="E58" s="31">
        <f t="shared" si="2"/>
        <v>2012.6864594561339</v>
      </c>
      <c r="F58" s="31">
        <f t="shared" si="3"/>
        <v>379273.29196321534</v>
      </c>
    </row>
    <row r="59" spans="1:6" x14ac:dyDescent="0.25">
      <c r="A59" s="30">
        <f t="shared" si="4"/>
        <v>50</v>
      </c>
      <c r="B59" s="31">
        <f t="shared" si="5"/>
        <v>379273.29196321534</v>
      </c>
      <c r="C59" s="31">
        <f t="shared" si="0"/>
        <v>2491.556657775538</v>
      </c>
      <c r="D59" s="31">
        <f t="shared" si="1"/>
        <v>481.40821037049653</v>
      </c>
      <c r="E59" s="31">
        <f t="shared" si="2"/>
        <v>2010.1484474050412</v>
      </c>
      <c r="F59" s="31">
        <f t="shared" si="3"/>
        <v>378791.88375284482</v>
      </c>
    </row>
    <row r="60" spans="1:6" x14ac:dyDescent="0.25">
      <c r="A60" s="30">
        <f t="shared" si="4"/>
        <v>51</v>
      </c>
      <c r="B60" s="31">
        <f t="shared" si="5"/>
        <v>378791.88375284482</v>
      </c>
      <c r="C60" s="31">
        <f t="shared" si="0"/>
        <v>2491.556657775538</v>
      </c>
      <c r="D60" s="31">
        <f t="shared" si="1"/>
        <v>483.95967388546012</v>
      </c>
      <c r="E60" s="31">
        <f t="shared" si="2"/>
        <v>2007.5969838900778</v>
      </c>
      <c r="F60" s="31">
        <f t="shared" si="3"/>
        <v>378307.92407895933</v>
      </c>
    </row>
    <row r="61" spans="1:6" x14ac:dyDescent="0.25">
      <c r="A61" s="30">
        <f t="shared" si="4"/>
        <v>52</v>
      </c>
      <c r="B61" s="31">
        <f t="shared" si="5"/>
        <v>378307.92407895933</v>
      </c>
      <c r="C61" s="31">
        <f t="shared" si="0"/>
        <v>2491.556657775538</v>
      </c>
      <c r="D61" s="31">
        <f t="shared" si="1"/>
        <v>486.52466015705306</v>
      </c>
      <c r="E61" s="31">
        <f t="shared" si="2"/>
        <v>2005.0319976184849</v>
      </c>
      <c r="F61" s="31">
        <f t="shared" si="3"/>
        <v>377821.39941880229</v>
      </c>
    </row>
    <row r="62" spans="1:6" x14ac:dyDescent="0.25">
      <c r="A62" s="30">
        <f t="shared" si="4"/>
        <v>53</v>
      </c>
      <c r="B62" s="31">
        <f t="shared" si="5"/>
        <v>377821.39941880229</v>
      </c>
      <c r="C62" s="31">
        <f t="shared" si="0"/>
        <v>2491.556657775538</v>
      </c>
      <c r="D62" s="31">
        <f t="shared" si="1"/>
        <v>489.10324085588542</v>
      </c>
      <c r="E62" s="31">
        <f t="shared" si="2"/>
        <v>2002.4534169196525</v>
      </c>
      <c r="F62" s="31">
        <f t="shared" si="3"/>
        <v>377332.29617794638</v>
      </c>
    </row>
    <row r="63" spans="1:6" x14ac:dyDescent="0.25">
      <c r="A63" s="30">
        <f t="shared" si="4"/>
        <v>54</v>
      </c>
      <c r="B63" s="31">
        <f t="shared" si="5"/>
        <v>377332.29617794638</v>
      </c>
      <c r="C63" s="31">
        <f t="shared" si="0"/>
        <v>2491.556657775538</v>
      </c>
      <c r="D63" s="31">
        <f t="shared" si="1"/>
        <v>491.69548803242179</v>
      </c>
      <c r="E63" s="31">
        <f t="shared" si="2"/>
        <v>1999.8611697431161</v>
      </c>
      <c r="F63" s="31">
        <f t="shared" si="3"/>
        <v>376840.60068991396</v>
      </c>
    </row>
    <row r="64" spans="1:6" x14ac:dyDescent="0.25">
      <c r="A64" s="30">
        <f t="shared" si="4"/>
        <v>55</v>
      </c>
      <c r="B64" s="31">
        <f t="shared" si="5"/>
        <v>376840.60068991396</v>
      </c>
      <c r="C64" s="31">
        <f t="shared" si="0"/>
        <v>2491.556657775538</v>
      </c>
      <c r="D64" s="31">
        <f t="shared" si="1"/>
        <v>494.3014741189935</v>
      </c>
      <c r="E64" s="31">
        <f t="shared" si="2"/>
        <v>1997.2551836565442</v>
      </c>
      <c r="F64" s="31">
        <f t="shared" si="3"/>
        <v>376346.29921579495</v>
      </c>
    </row>
    <row r="65" spans="1:6" x14ac:dyDescent="0.25">
      <c r="A65" s="30">
        <f t="shared" si="4"/>
        <v>56</v>
      </c>
      <c r="B65" s="31">
        <f t="shared" si="5"/>
        <v>376346.29921579495</v>
      </c>
      <c r="C65" s="31">
        <f t="shared" si="0"/>
        <v>2491.556657775538</v>
      </c>
      <c r="D65" s="31">
        <f t="shared" si="1"/>
        <v>496.92127193182421</v>
      </c>
      <c r="E65" s="31">
        <f t="shared" si="2"/>
        <v>1994.6353858437135</v>
      </c>
      <c r="F65" s="31">
        <f t="shared" si="3"/>
        <v>375849.3779438631</v>
      </c>
    </row>
    <row r="66" spans="1:6" x14ac:dyDescent="0.25">
      <c r="A66" s="30">
        <f t="shared" si="4"/>
        <v>57</v>
      </c>
      <c r="B66" s="31">
        <f t="shared" si="5"/>
        <v>375849.3779438631</v>
      </c>
      <c r="C66" s="31">
        <f t="shared" si="0"/>
        <v>2491.556657775538</v>
      </c>
      <c r="D66" s="31">
        <f t="shared" si="1"/>
        <v>499.55495467306281</v>
      </c>
      <c r="E66" s="31">
        <f t="shared" si="2"/>
        <v>1992.0017031024752</v>
      </c>
      <c r="F66" s="31">
        <f t="shared" si="3"/>
        <v>375349.82298919006</v>
      </c>
    </row>
    <row r="67" spans="1:6" x14ac:dyDescent="0.25">
      <c r="A67" s="30">
        <f t="shared" si="4"/>
        <v>58</v>
      </c>
      <c r="B67" s="31">
        <f t="shared" si="5"/>
        <v>375349.82298919006</v>
      </c>
      <c r="C67" s="31">
        <f t="shared" si="0"/>
        <v>2491.556657775538</v>
      </c>
      <c r="D67" s="31">
        <f t="shared" si="1"/>
        <v>502.20259593283004</v>
      </c>
      <c r="E67" s="31">
        <f t="shared" si="2"/>
        <v>1989.354061842708</v>
      </c>
      <c r="F67" s="31">
        <f t="shared" si="3"/>
        <v>374847.62039325724</v>
      </c>
    </row>
    <row r="68" spans="1:6" x14ac:dyDescent="0.25">
      <c r="A68" s="30">
        <f t="shared" si="4"/>
        <v>59</v>
      </c>
      <c r="B68" s="31">
        <f t="shared" si="5"/>
        <v>374847.62039325724</v>
      </c>
      <c r="C68" s="31">
        <f t="shared" si="0"/>
        <v>2491.556657775538</v>
      </c>
      <c r="D68" s="31">
        <f t="shared" si="1"/>
        <v>504.86426969127399</v>
      </c>
      <c r="E68" s="31">
        <f t="shared" si="2"/>
        <v>1986.6923880842637</v>
      </c>
      <c r="F68" s="31">
        <f t="shared" si="3"/>
        <v>374342.75612356595</v>
      </c>
    </row>
    <row r="69" spans="1:6" x14ac:dyDescent="0.25">
      <c r="A69" s="30">
        <f t="shared" si="4"/>
        <v>60</v>
      </c>
      <c r="B69" s="31">
        <f t="shared" si="5"/>
        <v>374342.75612356595</v>
      </c>
      <c r="C69" s="31">
        <f t="shared" si="0"/>
        <v>2491.556657775538</v>
      </c>
      <c r="D69" s="31">
        <f t="shared" si="1"/>
        <v>507.5400503206377</v>
      </c>
      <c r="E69" s="31">
        <f t="shared" si="2"/>
        <v>1984.0166074549002</v>
      </c>
      <c r="F69" s="31">
        <f t="shared" si="3"/>
        <v>373835.21607324533</v>
      </c>
    </row>
    <row r="70" spans="1:6" x14ac:dyDescent="0.25">
      <c r="A70" s="30">
        <f t="shared" si="4"/>
        <v>61</v>
      </c>
      <c r="B70" s="31">
        <f t="shared" si="5"/>
        <v>373835.21607324533</v>
      </c>
      <c r="C70" s="31">
        <f t="shared" si="0"/>
        <v>2491.556657775538</v>
      </c>
      <c r="D70" s="31">
        <f t="shared" si="1"/>
        <v>510.23001258733723</v>
      </c>
      <c r="E70" s="31">
        <f t="shared" si="2"/>
        <v>1981.3266451882007</v>
      </c>
      <c r="F70" s="31">
        <f t="shared" si="3"/>
        <v>373324.986060658</v>
      </c>
    </row>
    <row r="71" spans="1:6" x14ac:dyDescent="0.25">
      <c r="A71" s="30">
        <f t="shared" si="4"/>
        <v>62</v>
      </c>
      <c r="B71" s="31">
        <f t="shared" si="5"/>
        <v>373324.986060658</v>
      </c>
      <c r="C71" s="31">
        <f t="shared" si="0"/>
        <v>2491.556657775538</v>
      </c>
      <c r="D71" s="31">
        <f t="shared" si="1"/>
        <v>512.93423165405011</v>
      </c>
      <c r="E71" s="31">
        <f t="shared" si="2"/>
        <v>1978.6224261214877</v>
      </c>
      <c r="F71" s="31">
        <f t="shared" si="3"/>
        <v>372812.05182900396</v>
      </c>
    </row>
    <row r="72" spans="1:6" x14ac:dyDescent="0.25">
      <c r="A72" s="30">
        <f t="shared" si="4"/>
        <v>63</v>
      </c>
      <c r="B72" s="31">
        <f t="shared" si="5"/>
        <v>372812.05182900396</v>
      </c>
      <c r="C72" s="31">
        <f t="shared" si="0"/>
        <v>2491.556657775538</v>
      </c>
      <c r="D72" s="31">
        <f t="shared" si="1"/>
        <v>515.65278308181655</v>
      </c>
      <c r="E72" s="31">
        <f t="shared" si="2"/>
        <v>1975.9038746937213</v>
      </c>
      <c r="F72" s="31">
        <f t="shared" si="3"/>
        <v>372296.39904592215</v>
      </c>
    </row>
    <row r="73" spans="1:6" x14ac:dyDescent="0.25">
      <c r="A73" s="30">
        <f t="shared" si="4"/>
        <v>64</v>
      </c>
      <c r="B73" s="31">
        <f t="shared" si="5"/>
        <v>372296.39904592215</v>
      </c>
      <c r="C73" s="31">
        <f t="shared" si="0"/>
        <v>2491.556657775538</v>
      </c>
      <c r="D73" s="31">
        <f t="shared" si="1"/>
        <v>518.38574283215019</v>
      </c>
      <c r="E73" s="31">
        <f t="shared" si="2"/>
        <v>1973.1709149433877</v>
      </c>
      <c r="F73" s="31">
        <f t="shared" si="3"/>
        <v>371778.01330309</v>
      </c>
    </row>
    <row r="74" spans="1:6" x14ac:dyDescent="0.25">
      <c r="A74" s="30">
        <f t="shared" si="4"/>
        <v>65</v>
      </c>
      <c r="B74" s="31">
        <f t="shared" si="5"/>
        <v>371778.01330309</v>
      </c>
      <c r="C74" s="31">
        <f t="shared" ref="C74:C137" si="6">IFERROR(PMT(Assump_BaseRate/12,Assump_TermMos,-Assump_LoanAmt),0)</f>
        <v>2491.556657775538</v>
      </c>
      <c r="D74" s="31">
        <f t="shared" ref="D74:D137" si="7">IFERROR(PPMT(Assump_BaseRate/12,A74,Assump_TermMos,-Assump_LoanAmt),0)</f>
        <v>521.13318726916054</v>
      </c>
      <c r="E74" s="31">
        <f t="shared" ref="E74:E137" si="8">IFERROR(IPMT(Assump_BaseRate/12,A74,Assump_TermMos,-Assump_LoanAmt),0)</f>
        <v>1970.4234705063773</v>
      </c>
      <c r="F74" s="31">
        <f t="shared" ref="F74:F137" si="9">IFERROR(B74-D74,0)</f>
        <v>371256.88011582085</v>
      </c>
    </row>
    <row r="75" spans="1:6" x14ac:dyDescent="0.25">
      <c r="A75" s="30">
        <f t="shared" ref="A75:A138" si="10">A74+1</f>
        <v>66</v>
      </c>
      <c r="B75" s="31">
        <f t="shared" ref="B75:B138" si="11">F74</f>
        <v>371256.88011582085</v>
      </c>
      <c r="C75" s="31">
        <f t="shared" si="6"/>
        <v>2491.556657775538</v>
      </c>
      <c r="D75" s="31">
        <f t="shared" si="7"/>
        <v>523.89519316168719</v>
      </c>
      <c r="E75" s="31">
        <f t="shared" si="8"/>
        <v>1967.6614646138507</v>
      </c>
      <c r="F75" s="31">
        <f t="shared" si="9"/>
        <v>370732.98492265918</v>
      </c>
    </row>
    <row r="76" spans="1:6" x14ac:dyDescent="0.25">
      <c r="A76" s="30">
        <f t="shared" si="10"/>
        <v>67</v>
      </c>
      <c r="B76" s="31">
        <f t="shared" si="11"/>
        <v>370732.98492265918</v>
      </c>
      <c r="C76" s="31">
        <f t="shared" si="6"/>
        <v>2491.556657775538</v>
      </c>
      <c r="D76" s="31">
        <f t="shared" si="7"/>
        <v>526.67183768544407</v>
      </c>
      <c r="E76" s="31">
        <f t="shared" si="8"/>
        <v>1964.8848200900936</v>
      </c>
      <c r="F76" s="31">
        <f t="shared" si="9"/>
        <v>370206.31308497372</v>
      </c>
    </row>
    <row r="77" spans="1:6" x14ac:dyDescent="0.25">
      <c r="A77" s="30">
        <f t="shared" si="10"/>
        <v>68</v>
      </c>
      <c r="B77" s="31">
        <f t="shared" si="11"/>
        <v>370206.31308497372</v>
      </c>
      <c r="C77" s="31">
        <f t="shared" si="6"/>
        <v>2491.556657775538</v>
      </c>
      <c r="D77" s="31">
        <f t="shared" si="7"/>
        <v>529.46319842517698</v>
      </c>
      <c r="E77" s="31">
        <f t="shared" si="8"/>
        <v>1962.0934593503609</v>
      </c>
      <c r="F77" s="31">
        <f t="shared" si="9"/>
        <v>369676.84988654853</v>
      </c>
    </row>
    <row r="78" spans="1:6" x14ac:dyDescent="0.25">
      <c r="A78" s="30">
        <f t="shared" si="10"/>
        <v>69</v>
      </c>
      <c r="B78" s="31">
        <f t="shared" si="11"/>
        <v>369676.84988654853</v>
      </c>
      <c r="C78" s="31">
        <f t="shared" si="6"/>
        <v>2491.556657775538</v>
      </c>
      <c r="D78" s="31">
        <f t="shared" si="7"/>
        <v>532.2693533768304</v>
      </c>
      <c r="E78" s="31">
        <f t="shared" si="8"/>
        <v>1959.2873043987074</v>
      </c>
      <c r="F78" s="31">
        <f t="shared" si="9"/>
        <v>369144.58053317171</v>
      </c>
    </row>
    <row r="79" spans="1:6" x14ac:dyDescent="0.25">
      <c r="A79" s="30">
        <f t="shared" si="10"/>
        <v>70</v>
      </c>
      <c r="B79" s="31">
        <f t="shared" si="11"/>
        <v>369144.58053317171</v>
      </c>
      <c r="C79" s="31">
        <f t="shared" si="6"/>
        <v>2491.556657775538</v>
      </c>
      <c r="D79" s="31">
        <f t="shared" si="7"/>
        <v>535.09038094972755</v>
      </c>
      <c r="E79" s="31">
        <f t="shared" si="8"/>
        <v>1956.4662768258104</v>
      </c>
      <c r="F79" s="31">
        <f t="shared" si="9"/>
        <v>368609.49015222199</v>
      </c>
    </row>
    <row r="80" spans="1:6" x14ac:dyDescent="0.25">
      <c r="A80" s="30">
        <f t="shared" si="10"/>
        <v>71</v>
      </c>
      <c r="B80" s="31">
        <f t="shared" si="11"/>
        <v>368609.49015222199</v>
      </c>
      <c r="C80" s="31">
        <f t="shared" si="6"/>
        <v>2491.556657775538</v>
      </c>
      <c r="D80" s="31">
        <f t="shared" si="7"/>
        <v>537.92635996876118</v>
      </c>
      <c r="E80" s="31">
        <f t="shared" si="8"/>
        <v>1953.6302978067768</v>
      </c>
      <c r="F80" s="31">
        <f t="shared" si="9"/>
        <v>368071.5637922532</v>
      </c>
    </row>
    <row r="81" spans="1:6" x14ac:dyDescent="0.25">
      <c r="A81" s="30">
        <f t="shared" si="10"/>
        <v>72</v>
      </c>
      <c r="B81" s="31">
        <f t="shared" si="11"/>
        <v>368071.5637922532</v>
      </c>
      <c r="C81" s="31">
        <f t="shared" si="6"/>
        <v>2491.556657775538</v>
      </c>
      <c r="D81" s="31">
        <f t="shared" si="7"/>
        <v>540.77736967659553</v>
      </c>
      <c r="E81" s="31">
        <f t="shared" si="8"/>
        <v>1950.7792880989423</v>
      </c>
      <c r="F81" s="31">
        <f t="shared" si="9"/>
        <v>367530.78642257658</v>
      </c>
    </row>
    <row r="82" spans="1:6" x14ac:dyDescent="0.25">
      <c r="A82" s="30">
        <f t="shared" si="10"/>
        <v>73</v>
      </c>
      <c r="B82" s="31">
        <f t="shared" si="11"/>
        <v>367530.78642257658</v>
      </c>
      <c r="C82" s="31">
        <f t="shared" si="6"/>
        <v>2491.556657775538</v>
      </c>
      <c r="D82" s="31">
        <f t="shared" si="7"/>
        <v>543.64348973588142</v>
      </c>
      <c r="E82" s="31">
        <f t="shared" si="8"/>
        <v>1947.9131680396563</v>
      </c>
      <c r="F82" s="31">
        <f t="shared" si="9"/>
        <v>366987.14293284068</v>
      </c>
    </row>
    <row r="83" spans="1:6" x14ac:dyDescent="0.25">
      <c r="A83" s="30">
        <f t="shared" si="10"/>
        <v>74</v>
      </c>
      <c r="B83" s="31">
        <f t="shared" si="11"/>
        <v>366987.14293284068</v>
      </c>
      <c r="C83" s="31">
        <f t="shared" si="6"/>
        <v>2491.556657775538</v>
      </c>
      <c r="D83" s="31">
        <f t="shared" si="7"/>
        <v>546.52480023148178</v>
      </c>
      <c r="E83" s="31">
        <f t="shared" si="8"/>
        <v>1945.031857544056</v>
      </c>
      <c r="F83" s="31">
        <f t="shared" si="9"/>
        <v>366440.61813260918</v>
      </c>
    </row>
    <row r="84" spans="1:6" x14ac:dyDescent="0.25">
      <c r="A84" s="30">
        <f t="shared" si="10"/>
        <v>75</v>
      </c>
      <c r="B84" s="31">
        <f t="shared" si="11"/>
        <v>366440.61813260918</v>
      </c>
      <c r="C84" s="31">
        <f t="shared" si="6"/>
        <v>2491.556657775538</v>
      </c>
      <c r="D84" s="31">
        <f t="shared" si="7"/>
        <v>549.42138167270855</v>
      </c>
      <c r="E84" s="31">
        <f t="shared" si="8"/>
        <v>1942.1352761028293</v>
      </c>
      <c r="F84" s="31">
        <f t="shared" si="9"/>
        <v>365891.19675093645</v>
      </c>
    </row>
    <row r="85" spans="1:6" x14ac:dyDescent="0.25">
      <c r="A85" s="30">
        <f t="shared" si="10"/>
        <v>76</v>
      </c>
      <c r="B85" s="31">
        <f t="shared" si="11"/>
        <v>365891.19675093645</v>
      </c>
      <c r="C85" s="31">
        <f t="shared" si="6"/>
        <v>2491.556657775538</v>
      </c>
      <c r="D85" s="31">
        <f t="shared" si="7"/>
        <v>552.33331499557391</v>
      </c>
      <c r="E85" s="31">
        <f t="shared" si="8"/>
        <v>1939.2233427799638</v>
      </c>
      <c r="F85" s="31">
        <f t="shared" si="9"/>
        <v>365338.86343594088</v>
      </c>
    </row>
    <row r="86" spans="1:6" x14ac:dyDescent="0.25">
      <c r="A86" s="30">
        <f t="shared" si="10"/>
        <v>77</v>
      </c>
      <c r="B86" s="31">
        <f t="shared" si="11"/>
        <v>365338.86343594088</v>
      </c>
      <c r="C86" s="31">
        <f t="shared" si="6"/>
        <v>2491.556657775538</v>
      </c>
      <c r="D86" s="31">
        <f t="shared" si="7"/>
        <v>555.26068156505039</v>
      </c>
      <c r="E86" s="31">
        <f t="shared" si="8"/>
        <v>1936.2959762104877</v>
      </c>
      <c r="F86" s="31">
        <f t="shared" si="9"/>
        <v>364783.60275437584</v>
      </c>
    </row>
    <row r="87" spans="1:6" x14ac:dyDescent="0.25">
      <c r="A87" s="30">
        <f t="shared" si="10"/>
        <v>78</v>
      </c>
      <c r="B87" s="31">
        <f t="shared" si="11"/>
        <v>364783.60275437584</v>
      </c>
      <c r="C87" s="31">
        <f t="shared" si="6"/>
        <v>2491.556657775538</v>
      </c>
      <c r="D87" s="31">
        <f t="shared" si="7"/>
        <v>558.20356317734525</v>
      </c>
      <c r="E87" s="31">
        <f t="shared" si="8"/>
        <v>1933.3530945981929</v>
      </c>
      <c r="F87" s="31">
        <f t="shared" si="9"/>
        <v>364225.39919119852</v>
      </c>
    </row>
    <row r="88" spans="1:6" x14ac:dyDescent="0.25">
      <c r="A88" s="30">
        <f t="shared" si="10"/>
        <v>79</v>
      </c>
      <c r="B88" s="31">
        <f t="shared" si="11"/>
        <v>364225.39919119852</v>
      </c>
      <c r="C88" s="31">
        <f t="shared" si="6"/>
        <v>2491.556657775538</v>
      </c>
      <c r="D88" s="31">
        <f t="shared" si="7"/>
        <v>561.16204206218515</v>
      </c>
      <c r="E88" s="31">
        <f t="shared" si="8"/>
        <v>1930.3946157133528</v>
      </c>
      <c r="F88" s="31">
        <f t="shared" si="9"/>
        <v>363664.23714913632</v>
      </c>
    </row>
    <row r="89" spans="1:6" x14ac:dyDescent="0.25">
      <c r="A89" s="30">
        <f t="shared" si="10"/>
        <v>80</v>
      </c>
      <c r="B89" s="31">
        <f t="shared" si="11"/>
        <v>363664.23714913632</v>
      </c>
      <c r="C89" s="31">
        <f t="shared" si="6"/>
        <v>2491.556657775538</v>
      </c>
      <c r="D89" s="31">
        <f t="shared" si="7"/>
        <v>564.13620088511459</v>
      </c>
      <c r="E89" s="31">
        <f t="shared" si="8"/>
        <v>1927.4204568904233</v>
      </c>
      <c r="F89" s="31">
        <f t="shared" si="9"/>
        <v>363100.1009482512</v>
      </c>
    </row>
    <row r="90" spans="1:6" x14ac:dyDescent="0.25">
      <c r="A90" s="30">
        <f t="shared" si="10"/>
        <v>81</v>
      </c>
      <c r="B90" s="31">
        <f t="shared" si="11"/>
        <v>363100.1009482512</v>
      </c>
      <c r="C90" s="31">
        <f t="shared" si="6"/>
        <v>2491.556657775538</v>
      </c>
      <c r="D90" s="31">
        <f t="shared" si="7"/>
        <v>567.12612274980586</v>
      </c>
      <c r="E90" s="31">
        <f t="shared" si="8"/>
        <v>1924.4305350257321</v>
      </c>
      <c r="F90" s="31">
        <f t="shared" si="9"/>
        <v>362532.97482550138</v>
      </c>
    </row>
    <row r="91" spans="1:6" x14ac:dyDescent="0.25">
      <c r="A91" s="30">
        <f t="shared" si="10"/>
        <v>82</v>
      </c>
      <c r="B91" s="31">
        <f t="shared" si="11"/>
        <v>362532.97482550138</v>
      </c>
      <c r="C91" s="31">
        <f t="shared" si="6"/>
        <v>2491.556657775538</v>
      </c>
      <c r="D91" s="31">
        <f t="shared" si="7"/>
        <v>570.13189120037987</v>
      </c>
      <c r="E91" s="31">
        <f t="shared" si="8"/>
        <v>1921.4247665751579</v>
      </c>
      <c r="F91" s="31">
        <f t="shared" si="9"/>
        <v>361962.84293430101</v>
      </c>
    </row>
    <row r="92" spans="1:6" x14ac:dyDescent="0.25">
      <c r="A92" s="30">
        <f t="shared" si="10"/>
        <v>83</v>
      </c>
      <c r="B92" s="31">
        <f t="shared" si="11"/>
        <v>361962.84293430101</v>
      </c>
      <c r="C92" s="31">
        <f t="shared" si="6"/>
        <v>2491.556657775538</v>
      </c>
      <c r="D92" s="31">
        <f t="shared" si="7"/>
        <v>573.15359022374173</v>
      </c>
      <c r="E92" s="31">
        <f t="shared" si="8"/>
        <v>1918.4030675517963</v>
      </c>
      <c r="F92" s="31">
        <f t="shared" si="9"/>
        <v>361389.68934407725</v>
      </c>
    </row>
    <row r="93" spans="1:6" x14ac:dyDescent="0.25">
      <c r="A93" s="30">
        <f t="shared" si="10"/>
        <v>84</v>
      </c>
      <c r="B93" s="31">
        <f t="shared" si="11"/>
        <v>361389.68934407725</v>
      </c>
      <c r="C93" s="31">
        <f t="shared" si="6"/>
        <v>2491.556657775538</v>
      </c>
      <c r="D93" s="31">
        <f t="shared" si="7"/>
        <v>576.1913042519277</v>
      </c>
      <c r="E93" s="31">
        <f t="shared" si="8"/>
        <v>1915.3653535236101</v>
      </c>
      <c r="F93" s="31">
        <f t="shared" si="9"/>
        <v>360813.49803982535</v>
      </c>
    </row>
    <row r="94" spans="1:6" x14ac:dyDescent="0.25">
      <c r="A94" s="30">
        <f t="shared" si="10"/>
        <v>85</v>
      </c>
      <c r="B94" s="31">
        <f t="shared" si="11"/>
        <v>360813.49803982535</v>
      </c>
      <c r="C94" s="31">
        <f t="shared" si="6"/>
        <v>2491.556657775538</v>
      </c>
      <c r="D94" s="31">
        <f t="shared" si="7"/>
        <v>579.24511816446284</v>
      </c>
      <c r="E94" s="31">
        <f t="shared" si="8"/>
        <v>1912.311539611075</v>
      </c>
      <c r="F94" s="31">
        <f t="shared" si="9"/>
        <v>360234.2529216609</v>
      </c>
    </row>
    <row r="95" spans="1:6" x14ac:dyDescent="0.25">
      <c r="A95" s="30">
        <f t="shared" si="10"/>
        <v>86</v>
      </c>
      <c r="B95" s="31">
        <f t="shared" si="11"/>
        <v>360234.2529216609</v>
      </c>
      <c r="C95" s="31">
        <f t="shared" si="6"/>
        <v>2491.556657775538</v>
      </c>
      <c r="D95" s="31">
        <f t="shared" si="7"/>
        <v>582.31511729073441</v>
      </c>
      <c r="E95" s="31">
        <f t="shared" si="8"/>
        <v>1909.2415404848034</v>
      </c>
      <c r="F95" s="31">
        <f t="shared" si="9"/>
        <v>359651.93780437019</v>
      </c>
    </row>
    <row r="96" spans="1:6" x14ac:dyDescent="0.25">
      <c r="A96" s="30">
        <f t="shared" si="10"/>
        <v>87</v>
      </c>
      <c r="B96" s="31">
        <f t="shared" si="11"/>
        <v>359651.93780437019</v>
      </c>
      <c r="C96" s="31">
        <f t="shared" si="6"/>
        <v>2491.556657775538</v>
      </c>
      <c r="D96" s="31">
        <f t="shared" si="7"/>
        <v>585.40138741237524</v>
      </c>
      <c r="E96" s="31">
        <f t="shared" si="8"/>
        <v>1906.1552703631623</v>
      </c>
      <c r="F96" s="31">
        <f t="shared" si="9"/>
        <v>359066.5364169578</v>
      </c>
    </row>
    <row r="97" spans="1:6" x14ac:dyDescent="0.25">
      <c r="A97" s="30">
        <f t="shared" si="10"/>
        <v>88</v>
      </c>
      <c r="B97" s="31">
        <f t="shared" si="11"/>
        <v>359066.5364169578</v>
      </c>
      <c r="C97" s="31">
        <f t="shared" si="6"/>
        <v>2491.556657775538</v>
      </c>
      <c r="D97" s="31">
        <f t="shared" si="7"/>
        <v>588.50401476566105</v>
      </c>
      <c r="E97" s="31">
        <f t="shared" si="8"/>
        <v>1903.0526430098769</v>
      </c>
      <c r="F97" s="31">
        <f t="shared" si="9"/>
        <v>358478.03240219213</v>
      </c>
    </row>
    <row r="98" spans="1:6" x14ac:dyDescent="0.25">
      <c r="A98" s="30">
        <f t="shared" si="10"/>
        <v>89</v>
      </c>
      <c r="B98" s="31">
        <f t="shared" si="11"/>
        <v>358478.03240219213</v>
      </c>
      <c r="C98" s="31">
        <f t="shared" si="6"/>
        <v>2491.556657775538</v>
      </c>
      <c r="D98" s="31">
        <f t="shared" si="7"/>
        <v>591.62308604391899</v>
      </c>
      <c r="E98" s="31">
        <f t="shared" si="8"/>
        <v>1899.9335717316185</v>
      </c>
      <c r="F98" s="31">
        <f t="shared" si="9"/>
        <v>357886.4093161482</v>
      </c>
    </row>
    <row r="99" spans="1:6" x14ac:dyDescent="0.25">
      <c r="A99" s="30">
        <f t="shared" si="10"/>
        <v>90</v>
      </c>
      <c r="B99" s="31">
        <f t="shared" si="11"/>
        <v>357886.4093161482</v>
      </c>
      <c r="C99" s="31">
        <f t="shared" si="6"/>
        <v>2491.556657775538</v>
      </c>
      <c r="D99" s="31">
        <f t="shared" si="7"/>
        <v>594.75868839995178</v>
      </c>
      <c r="E99" s="31">
        <f t="shared" si="8"/>
        <v>1896.797969375586</v>
      </c>
      <c r="F99" s="31">
        <f t="shared" si="9"/>
        <v>357291.65062774823</v>
      </c>
    </row>
    <row r="100" spans="1:6" x14ac:dyDescent="0.25">
      <c r="A100" s="30">
        <f t="shared" si="10"/>
        <v>91</v>
      </c>
      <c r="B100" s="31">
        <f t="shared" si="11"/>
        <v>357291.65062774823</v>
      </c>
      <c r="C100" s="31">
        <f t="shared" si="6"/>
        <v>2491.556657775538</v>
      </c>
      <c r="D100" s="31">
        <f t="shared" si="7"/>
        <v>597.91090944847144</v>
      </c>
      <c r="E100" s="31">
        <f t="shared" si="8"/>
        <v>1893.6457483270663</v>
      </c>
      <c r="F100" s="31">
        <f t="shared" si="9"/>
        <v>356693.73971829977</v>
      </c>
    </row>
    <row r="101" spans="1:6" x14ac:dyDescent="0.25">
      <c r="A101" s="30">
        <f t="shared" si="10"/>
        <v>92</v>
      </c>
      <c r="B101" s="31">
        <f t="shared" si="11"/>
        <v>356693.73971829977</v>
      </c>
      <c r="C101" s="31">
        <f t="shared" si="6"/>
        <v>2491.556657775538</v>
      </c>
      <c r="D101" s="31">
        <f t="shared" si="7"/>
        <v>601.07983726854843</v>
      </c>
      <c r="E101" s="31">
        <f t="shared" si="8"/>
        <v>1890.4768205069895</v>
      </c>
      <c r="F101" s="31">
        <f t="shared" si="9"/>
        <v>356092.6598810312</v>
      </c>
    </row>
    <row r="102" spans="1:6" x14ac:dyDescent="0.25">
      <c r="A102" s="30">
        <f t="shared" si="10"/>
        <v>93</v>
      </c>
      <c r="B102" s="31">
        <f t="shared" si="11"/>
        <v>356092.6598810312</v>
      </c>
      <c r="C102" s="31">
        <f t="shared" si="6"/>
        <v>2491.556657775538</v>
      </c>
      <c r="D102" s="31">
        <f t="shared" si="7"/>
        <v>604.2655604060717</v>
      </c>
      <c r="E102" s="31">
        <f t="shared" si="8"/>
        <v>1887.2910973694659</v>
      </c>
      <c r="F102" s="31">
        <f t="shared" si="9"/>
        <v>355488.39432062511</v>
      </c>
    </row>
    <row r="103" spans="1:6" x14ac:dyDescent="0.25">
      <c r="A103" s="30">
        <f t="shared" si="10"/>
        <v>94</v>
      </c>
      <c r="B103" s="31">
        <f t="shared" si="11"/>
        <v>355488.39432062511</v>
      </c>
      <c r="C103" s="31">
        <f t="shared" si="6"/>
        <v>2491.556657775538</v>
      </c>
      <c r="D103" s="31">
        <f t="shared" si="7"/>
        <v>607.4681678762239</v>
      </c>
      <c r="E103" s="31">
        <f t="shared" si="8"/>
        <v>1884.088489899314</v>
      </c>
      <c r="F103" s="31">
        <f t="shared" si="9"/>
        <v>354880.92615274887</v>
      </c>
    </row>
    <row r="104" spans="1:6" x14ac:dyDescent="0.25">
      <c r="A104" s="30">
        <f t="shared" si="10"/>
        <v>95</v>
      </c>
      <c r="B104" s="31">
        <f t="shared" si="11"/>
        <v>354880.92615274887</v>
      </c>
      <c r="C104" s="31">
        <f t="shared" si="6"/>
        <v>2491.556657775538</v>
      </c>
      <c r="D104" s="31">
        <f t="shared" si="7"/>
        <v>610.68774916596794</v>
      </c>
      <c r="E104" s="31">
        <f t="shared" si="8"/>
        <v>1880.8689086095699</v>
      </c>
      <c r="F104" s="31">
        <f t="shared" si="9"/>
        <v>354270.23840358289</v>
      </c>
    </row>
    <row r="105" spans="1:6" x14ac:dyDescent="0.25">
      <c r="A105" s="30">
        <f t="shared" si="10"/>
        <v>96</v>
      </c>
      <c r="B105" s="31">
        <f t="shared" si="11"/>
        <v>354270.23840358289</v>
      </c>
      <c r="C105" s="31">
        <f t="shared" si="6"/>
        <v>2491.556657775538</v>
      </c>
      <c r="D105" s="31">
        <f t="shared" si="7"/>
        <v>613.92439423654753</v>
      </c>
      <c r="E105" s="31">
        <f t="shared" si="8"/>
        <v>1877.6322635389906</v>
      </c>
      <c r="F105" s="31">
        <f t="shared" si="9"/>
        <v>353656.31400934636</v>
      </c>
    </row>
    <row r="106" spans="1:6" x14ac:dyDescent="0.25">
      <c r="A106" s="30">
        <f t="shared" si="10"/>
        <v>97</v>
      </c>
      <c r="B106" s="31">
        <f t="shared" si="11"/>
        <v>353656.31400934636</v>
      </c>
      <c r="C106" s="31">
        <f t="shared" si="6"/>
        <v>2491.556657775538</v>
      </c>
      <c r="D106" s="31">
        <f t="shared" si="7"/>
        <v>617.17819352600122</v>
      </c>
      <c r="E106" s="31">
        <f t="shared" si="8"/>
        <v>1874.3784642495366</v>
      </c>
      <c r="F106" s="31">
        <f t="shared" si="9"/>
        <v>353039.13581582037</v>
      </c>
    </row>
    <row r="107" spans="1:6" x14ac:dyDescent="0.25">
      <c r="A107" s="30">
        <f t="shared" si="10"/>
        <v>98</v>
      </c>
      <c r="B107" s="31">
        <f t="shared" si="11"/>
        <v>353039.13581582037</v>
      </c>
      <c r="C107" s="31">
        <f t="shared" si="6"/>
        <v>2491.556657775538</v>
      </c>
      <c r="D107" s="31">
        <f t="shared" si="7"/>
        <v>620.44923795168904</v>
      </c>
      <c r="E107" s="31">
        <f t="shared" si="8"/>
        <v>1871.1074198238489</v>
      </c>
      <c r="F107" s="31">
        <f t="shared" si="9"/>
        <v>352418.68657786865</v>
      </c>
    </row>
    <row r="108" spans="1:6" x14ac:dyDescent="0.25">
      <c r="A108" s="30">
        <f t="shared" si="10"/>
        <v>99</v>
      </c>
      <c r="B108" s="31">
        <f t="shared" si="11"/>
        <v>352418.68657786865</v>
      </c>
      <c r="C108" s="31">
        <f t="shared" si="6"/>
        <v>2491.556657775538</v>
      </c>
      <c r="D108" s="31">
        <f t="shared" si="7"/>
        <v>623.737618912833</v>
      </c>
      <c r="E108" s="31">
        <f t="shared" si="8"/>
        <v>1867.8190388627052</v>
      </c>
      <c r="F108" s="31">
        <f t="shared" si="9"/>
        <v>351794.94895895582</v>
      </c>
    </row>
    <row r="109" spans="1:6" x14ac:dyDescent="0.25">
      <c r="A109" s="30">
        <f t="shared" si="10"/>
        <v>100</v>
      </c>
      <c r="B109" s="31">
        <f t="shared" si="11"/>
        <v>351794.94895895582</v>
      </c>
      <c r="C109" s="31">
        <f t="shared" si="6"/>
        <v>2491.556657775538</v>
      </c>
      <c r="D109" s="31">
        <f t="shared" si="7"/>
        <v>627.04342829307086</v>
      </c>
      <c r="E109" s="31">
        <f t="shared" si="8"/>
        <v>1864.5132294824668</v>
      </c>
      <c r="F109" s="31">
        <f t="shared" si="9"/>
        <v>351167.90553066274</v>
      </c>
    </row>
    <row r="110" spans="1:6" x14ac:dyDescent="0.25">
      <c r="A110" s="30">
        <f t="shared" si="10"/>
        <v>101</v>
      </c>
      <c r="B110" s="31">
        <f t="shared" si="11"/>
        <v>351167.90553066274</v>
      </c>
      <c r="C110" s="31">
        <f t="shared" si="6"/>
        <v>2491.556657775538</v>
      </c>
      <c r="D110" s="31">
        <f t="shared" si="7"/>
        <v>630.36675846302421</v>
      </c>
      <c r="E110" s="31">
        <f t="shared" si="8"/>
        <v>1861.1898993125137</v>
      </c>
      <c r="F110" s="31">
        <f t="shared" si="9"/>
        <v>350537.53877219971</v>
      </c>
    </row>
    <row r="111" spans="1:6" x14ac:dyDescent="0.25">
      <c r="A111" s="30">
        <f t="shared" si="10"/>
        <v>102</v>
      </c>
      <c r="B111" s="31">
        <f t="shared" si="11"/>
        <v>350537.53877219971</v>
      </c>
      <c r="C111" s="31">
        <f t="shared" si="6"/>
        <v>2491.556657775538</v>
      </c>
      <c r="D111" s="31">
        <f t="shared" si="7"/>
        <v>633.70770228287836</v>
      </c>
      <c r="E111" s="31">
        <f t="shared" si="8"/>
        <v>1857.8489554926593</v>
      </c>
      <c r="F111" s="31">
        <f t="shared" si="9"/>
        <v>349903.83106991684</v>
      </c>
    </row>
    <row r="112" spans="1:6" x14ac:dyDescent="0.25">
      <c r="A112" s="30">
        <f t="shared" si="10"/>
        <v>103</v>
      </c>
      <c r="B112" s="31">
        <f t="shared" si="11"/>
        <v>349903.83106991684</v>
      </c>
      <c r="C112" s="31">
        <f t="shared" si="6"/>
        <v>2491.556657775538</v>
      </c>
      <c r="D112" s="31">
        <f t="shared" si="7"/>
        <v>637.06635310497757</v>
      </c>
      <c r="E112" s="31">
        <f t="shared" si="8"/>
        <v>1854.4903046705601</v>
      </c>
      <c r="F112" s="31">
        <f t="shared" si="9"/>
        <v>349266.76471681189</v>
      </c>
    </row>
    <row r="113" spans="1:6" x14ac:dyDescent="0.25">
      <c r="A113" s="30">
        <f t="shared" si="10"/>
        <v>104</v>
      </c>
      <c r="B113" s="31">
        <f t="shared" si="11"/>
        <v>349266.76471681189</v>
      </c>
      <c r="C113" s="31">
        <f t="shared" si="6"/>
        <v>2491.556657775538</v>
      </c>
      <c r="D113" s="31">
        <f t="shared" si="7"/>
        <v>640.44280477643395</v>
      </c>
      <c r="E113" s="31">
        <f t="shared" si="8"/>
        <v>1851.1138529991035</v>
      </c>
      <c r="F113" s="31">
        <f t="shared" si="9"/>
        <v>348626.32191203546</v>
      </c>
    </row>
    <row r="114" spans="1:6" x14ac:dyDescent="0.25">
      <c r="A114" s="30">
        <f t="shared" si="10"/>
        <v>105</v>
      </c>
      <c r="B114" s="31">
        <f t="shared" si="11"/>
        <v>348626.32191203546</v>
      </c>
      <c r="C114" s="31">
        <f t="shared" si="6"/>
        <v>2491.556657775538</v>
      </c>
      <c r="D114" s="31">
        <f t="shared" si="7"/>
        <v>643.83715164174896</v>
      </c>
      <c r="E114" s="31">
        <f t="shared" si="8"/>
        <v>1847.7195061337886</v>
      </c>
      <c r="F114" s="31">
        <f t="shared" si="9"/>
        <v>347982.48476039374</v>
      </c>
    </row>
    <row r="115" spans="1:6" x14ac:dyDescent="0.25">
      <c r="A115" s="30">
        <f t="shared" si="10"/>
        <v>106</v>
      </c>
      <c r="B115" s="31">
        <f t="shared" si="11"/>
        <v>347982.48476039374</v>
      </c>
      <c r="C115" s="31">
        <f t="shared" si="6"/>
        <v>2491.556657775538</v>
      </c>
      <c r="D115" s="31">
        <f t="shared" si="7"/>
        <v>647.24948854545028</v>
      </c>
      <c r="E115" s="31">
        <f t="shared" si="8"/>
        <v>1844.3071692300875</v>
      </c>
      <c r="F115" s="31">
        <f t="shared" si="9"/>
        <v>347335.23527184827</v>
      </c>
    </row>
    <row r="116" spans="1:6" x14ac:dyDescent="0.25">
      <c r="A116" s="30">
        <f t="shared" si="10"/>
        <v>107</v>
      </c>
      <c r="B116" s="31">
        <f t="shared" si="11"/>
        <v>347335.23527184827</v>
      </c>
      <c r="C116" s="31">
        <f t="shared" si="6"/>
        <v>2491.556657775538</v>
      </c>
      <c r="D116" s="31">
        <f t="shared" si="7"/>
        <v>650.67991083474112</v>
      </c>
      <c r="E116" s="31">
        <f t="shared" si="8"/>
        <v>1840.8767469407967</v>
      </c>
      <c r="F116" s="31">
        <f t="shared" si="9"/>
        <v>346684.55536101351</v>
      </c>
    </row>
    <row r="117" spans="1:6" x14ac:dyDescent="0.25">
      <c r="A117" s="30">
        <f t="shared" si="10"/>
        <v>108</v>
      </c>
      <c r="B117" s="31">
        <f t="shared" si="11"/>
        <v>346684.55536101351</v>
      </c>
      <c r="C117" s="31">
        <f t="shared" si="6"/>
        <v>2491.556657775538</v>
      </c>
      <c r="D117" s="31">
        <f t="shared" si="7"/>
        <v>654.12851436216533</v>
      </c>
      <c r="E117" s="31">
        <f t="shared" si="8"/>
        <v>1837.4281434133723</v>
      </c>
      <c r="F117" s="31">
        <f t="shared" si="9"/>
        <v>346030.42684665136</v>
      </c>
    </row>
    <row r="118" spans="1:6" x14ac:dyDescent="0.25">
      <c r="A118" s="30">
        <f t="shared" si="10"/>
        <v>109</v>
      </c>
      <c r="B118" s="31">
        <f t="shared" si="11"/>
        <v>346030.42684665136</v>
      </c>
      <c r="C118" s="31">
        <f t="shared" si="6"/>
        <v>2491.556657775538</v>
      </c>
      <c r="D118" s="31">
        <f t="shared" si="7"/>
        <v>657.59539548828479</v>
      </c>
      <c r="E118" s="31">
        <f t="shared" si="8"/>
        <v>1833.9612622872528</v>
      </c>
      <c r="F118" s="31">
        <f t="shared" si="9"/>
        <v>345372.8314511631</v>
      </c>
    </row>
    <row r="119" spans="1:6" x14ac:dyDescent="0.25">
      <c r="A119" s="30">
        <f t="shared" si="10"/>
        <v>110</v>
      </c>
      <c r="B119" s="31">
        <f t="shared" si="11"/>
        <v>345372.8314511631</v>
      </c>
      <c r="C119" s="31">
        <f t="shared" si="6"/>
        <v>2491.556657775538</v>
      </c>
      <c r="D119" s="31">
        <f t="shared" si="7"/>
        <v>661.08065108437279</v>
      </c>
      <c r="E119" s="31">
        <f t="shared" si="8"/>
        <v>1830.4760066911651</v>
      </c>
      <c r="F119" s="31">
        <f t="shared" si="9"/>
        <v>344711.75080007873</v>
      </c>
    </row>
    <row r="120" spans="1:6" x14ac:dyDescent="0.25">
      <c r="A120" s="30">
        <f t="shared" si="10"/>
        <v>111</v>
      </c>
      <c r="B120" s="31">
        <f t="shared" si="11"/>
        <v>344711.75080007873</v>
      </c>
      <c r="C120" s="31">
        <f t="shared" si="6"/>
        <v>2491.556657775538</v>
      </c>
      <c r="D120" s="31">
        <f t="shared" si="7"/>
        <v>664.58437853511987</v>
      </c>
      <c r="E120" s="31">
        <f t="shared" si="8"/>
        <v>1826.9722792404179</v>
      </c>
      <c r="F120" s="31">
        <f t="shared" si="9"/>
        <v>344047.16642154363</v>
      </c>
    </row>
    <row r="121" spans="1:6" x14ac:dyDescent="0.25">
      <c r="A121" s="30">
        <f t="shared" si="10"/>
        <v>112</v>
      </c>
      <c r="B121" s="31">
        <f t="shared" si="11"/>
        <v>344047.16642154363</v>
      </c>
      <c r="C121" s="31">
        <f t="shared" si="6"/>
        <v>2491.556657775538</v>
      </c>
      <c r="D121" s="31">
        <f t="shared" si="7"/>
        <v>668.10667574135607</v>
      </c>
      <c r="E121" s="31">
        <f t="shared" si="8"/>
        <v>1823.4499820341816</v>
      </c>
      <c r="F121" s="31">
        <f t="shared" si="9"/>
        <v>343379.05974580225</v>
      </c>
    </row>
    <row r="122" spans="1:6" x14ac:dyDescent="0.25">
      <c r="A122" s="30">
        <f t="shared" si="10"/>
        <v>113</v>
      </c>
      <c r="B122" s="31">
        <f t="shared" si="11"/>
        <v>343379.05974580225</v>
      </c>
      <c r="C122" s="31">
        <f t="shared" si="6"/>
        <v>2491.556657775538</v>
      </c>
      <c r="D122" s="31">
        <f t="shared" si="7"/>
        <v>671.6476411227851</v>
      </c>
      <c r="E122" s="31">
        <f t="shared" si="8"/>
        <v>1819.9090166527528</v>
      </c>
      <c r="F122" s="31">
        <f t="shared" si="9"/>
        <v>342707.41210467945</v>
      </c>
    </row>
    <row r="123" spans="1:6" x14ac:dyDescent="0.25">
      <c r="A123" s="30">
        <f t="shared" si="10"/>
        <v>114</v>
      </c>
      <c r="B123" s="31">
        <f t="shared" si="11"/>
        <v>342707.41210467945</v>
      </c>
      <c r="C123" s="31">
        <f t="shared" si="6"/>
        <v>2491.556657775538</v>
      </c>
      <c r="D123" s="31">
        <f t="shared" si="7"/>
        <v>675.20737362073589</v>
      </c>
      <c r="E123" s="31">
        <f t="shared" si="8"/>
        <v>1816.3492841548016</v>
      </c>
      <c r="F123" s="31">
        <f t="shared" si="9"/>
        <v>342032.20473105874</v>
      </c>
    </row>
    <row r="124" spans="1:6" x14ac:dyDescent="0.25">
      <c r="A124" s="30">
        <f t="shared" si="10"/>
        <v>115</v>
      </c>
      <c r="B124" s="31">
        <f t="shared" si="11"/>
        <v>342032.20473105874</v>
      </c>
      <c r="C124" s="31">
        <f t="shared" si="6"/>
        <v>2491.556657775538</v>
      </c>
      <c r="D124" s="31">
        <f t="shared" si="7"/>
        <v>678.78597270092587</v>
      </c>
      <c r="E124" s="31">
        <f t="shared" si="8"/>
        <v>1812.7706850746119</v>
      </c>
      <c r="F124" s="31">
        <f t="shared" si="9"/>
        <v>341353.41875835782</v>
      </c>
    </row>
    <row r="125" spans="1:6" x14ac:dyDescent="0.25">
      <c r="A125" s="30">
        <f t="shared" si="10"/>
        <v>116</v>
      </c>
      <c r="B125" s="31">
        <f t="shared" si="11"/>
        <v>341353.41875835782</v>
      </c>
      <c r="C125" s="31">
        <f t="shared" si="6"/>
        <v>2491.556657775538</v>
      </c>
      <c r="D125" s="31">
        <f t="shared" si="7"/>
        <v>682.38353835624082</v>
      </c>
      <c r="E125" s="31">
        <f t="shared" si="8"/>
        <v>1809.1731194192971</v>
      </c>
      <c r="F125" s="31">
        <f t="shared" si="9"/>
        <v>340671.03522000159</v>
      </c>
    </row>
    <row r="126" spans="1:6" x14ac:dyDescent="0.25">
      <c r="A126" s="30">
        <f t="shared" si="10"/>
        <v>117</v>
      </c>
      <c r="B126" s="31">
        <f t="shared" si="11"/>
        <v>340671.03522000159</v>
      </c>
      <c r="C126" s="31">
        <f t="shared" si="6"/>
        <v>2491.556657775538</v>
      </c>
      <c r="D126" s="31">
        <f t="shared" si="7"/>
        <v>686.00017110952888</v>
      </c>
      <c r="E126" s="31">
        <f t="shared" si="8"/>
        <v>1805.5564866660088</v>
      </c>
      <c r="F126" s="31">
        <f t="shared" si="9"/>
        <v>339985.03504889208</v>
      </c>
    </row>
    <row r="127" spans="1:6" x14ac:dyDescent="0.25">
      <c r="A127" s="30">
        <f t="shared" si="10"/>
        <v>118</v>
      </c>
      <c r="B127" s="31">
        <f t="shared" si="11"/>
        <v>339985.03504889208</v>
      </c>
      <c r="C127" s="31">
        <f t="shared" si="6"/>
        <v>2491.556657775538</v>
      </c>
      <c r="D127" s="31">
        <f t="shared" si="7"/>
        <v>689.63597201640937</v>
      </c>
      <c r="E127" s="31">
        <f t="shared" si="8"/>
        <v>1801.9206857591284</v>
      </c>
      <c r="F127" s="31">
        <f t="shared" si="9"/>
        <v>339295.39907687565</v>
      </c>
    </row>
    <row r="128" spans="1:6" x14ac:dyDescent="0.25">
      <c r="A128" s="30">
        <f t="shared" si="10"/>
        <v>119</v>
      </c>
      <c r="B128" s="31">
        <f t="shared" si="11"/>
        <v>339295.39907687565</v>
      </c>
      <c r="C128" s="31">
        <f t="shared" si="6"/>
        <v>2491.556657775538</v>
      </c>
      <c r="D128" s="31">
        <f t="shared" si="7"/>
        <v>693.29104266809622</v>
      </c>
      <c r="E128" s="31">
        <f t="shared" si="8"/>
        <v>1798.2656151074416</v>
      </c>
      <c r="F128" s="31">
        <f t="shared" si="9"/>
        <v>338602.10803420754</v>
      </c>
    </row>
    <row r="129" spans="1:6" x14ac:dyDescent="0.25">
      <c r="A129" s="30">
        <f t="shared" si="10"/>
        <v>120</v>
      </c>
      <c r="B129" s="31">
        <f t="shared" si="11"/>
        <v>338602.10803420754</v>
      </c>
      <c r="C129" s="31">
        <f t="shared" si="6"/>
        <v>2491.556657775538</v>
      </c>
      <c r="D129" s="31">
        <f t="shared" si="7"/>
        <v>696.9654851942372</v>
      </c>
      <c r="E129" s="31">
        <f t="shared" si="8"/>
        <v>1794.5911725813005</v>
      </c>
      <c r="F129" s="31">
        <f t="shared" si="9"/>
        <v>337905.14254901331</v>
      </c>
    </row>
    <row r="130" spans="1:6" x14ac:dyDescent="0.25">
      <c r="A130" s="30">
        <f t="shared" si="10"/>
        <v>121</v>
      </c>
      <c r="B130" s="31">
        <f t="shared" si="11"/>
        <v>337905.14254901331</v>
      </c>
      <c r="C130" s="31">
        <f t="shared" si="6"/>
        <v>2491.556657775538</v>
      </c>
      <c r="D130" s="31">
        <f t="shared" si="7"/>
        <v>700.65940226576663</v>
      </c>
      <c r="E130" s="31">
        <f t="shared" si="8"/>
        <v>1790.8972555097712</v>
      </c>
      <c r="F130" s="31">
        <f t="shared" si="9"/>
        <v>337204.48314674752</v>
      </c>
    </row>
    <row r="131" spans="1:6" x14ac:dyDescent="0.25">
      <c r="A131" s="30">
        <f t="shared" si="10"/>
        <v>122</v>
      </c>
      <c r="B131" s="31">
        <f t="shared" si="11"/>
        <v>337204.48314674752</v>
      </c>
      <c r="C131" s="31">
        <f t="shared" si="6"/>
        <v>2491.556657775538</v>
      </c>
      <c r="D131" s="31">
        <f t="shared" si="7"/>
        <v>704.37289709777519</v>
      </c>
      <c r="E131" s="31">
        <f t="shared" si="8"/>
        <v>1787.1837606777628</v>
      </c>
      <c r="F131" s="31">
        <f t="shared" si="9"/>
        <v>336500.11024964973</v>
      </c>
    </row>
    <row r="132" spans="1:6" x14ac:dyDescent="0.25">
      <c r="A132" s="30">
        <f t="shared" si="10"/>
        <v>123</v>
      </c>
      <c r="B132" s="31">
        <f t="shared" si="11"/>
        <v>336500.11024964973</v>
      </c>
      <c r="C132" s="31">
        <f t="shared" si="6"/>
        <v>2491.556657775538</v>
      </c>
      <c r="D132" s="31">
        <f t="shared" si="7"/>
        <v>708.1060734523935</v>
      </c>
      <c r="E132" s="31">
        <f t="shared" si="8"/>
        <v>1783.4505843231445</v>
      </c>
      <c r="F132" s="31">
        <f t="shared" si="9"/>
        <v>335792.00417619734</v>
      </c>
    </row>
    <row r="133" spans="1:6" x14ac:dyDescent="0.25">
      <c r="A133" s="30">
        <f t="shared" si="10"/>
        <v>124</v>
      </c>
      <c r="B133" s="31">
        <f t="shared" si="11"/>
        <v>335792.00417619734</v>
      </c>
      <c r="C133" s="31">
        <f t="shared" si="6"/>
        <v>2491.556657775538</v>
      </c>
      <c r="D133" s="31">
        <f t="shared" si="7"/>
        <v>711.85903564169109</v>
      </c>
      <c r="E133" s="31">
        <f t="shared" si="8"/>
        <v>1779.6976221338466</v>
      </c>
      <c r="F133" s="31">
        <f t="shared" si="9"/>
        <v>335080.14514055563</v>
      </c>
    </row>
    <row r="134" spans="1:6" x14ac:dyDescent="0.25">
      <c r="A134" s="30">
        <f t="shared" si="10"/>
        <v>125</v>
      </c>
      <c r="B134" s="31">
        <f t="shared" si="11"/>
        <v>335080.14514055563</v>
      </c>
      <c r="C134" s="31">
        <f t="shared" si="6"/>
        <v>2491.556657775538</v>
      </c>
      <c r="D134" s="31">
        <f t="shared" si="7"/>
        <v>715.63188853059216</v>
      </c>
      <c r="E134" s="31">
        <f t="shared" si="8"/>
        <v>1775.9247692449458</v>
      </c>
      <c r="F134" s="31">
        <f t="shared" si="9"/>
        <v>334364.51325202506</v>
      </c>
    </row>
    <row r="135" spans="1:6" x14ac:dyDescent="0.25">
      <c r="A135" s="30">
        <f t="shared" si="10"/>
        <v>126</v>
      </c>
      <c r="B135" s="31">
        <f t="shared" si="11"/>
        <v>334364.51325202506</v>
      </c>
      <c r="C135" s="31">
        <f t="shared" si="6"/>
        <v>2491.556657775538</v>
      </c>
      <c r="D135" s="31">
        <f t="shared" si="7"/>
        <v>719.42473753980425</v>
      </c>
      <c r="E135" s="31">
        <f t="shared" si="8"/>
        <v>1772.1319202357338</v>
      </c>
      <c r="F135" s="31">
        <f t="shared" si="9"/>
        <v>333645.08851448528</v>
      </c>
    </row>
    <row r="136" spans="1:6" x14ac:dyDescent="0.25">
      <c r="A136" s="30">
        <f t="shared" si="10"/>
        <v>127</v>
      </c>
      <c r="B136" s="31">
        <f t="shared" si="11"/>
        <v>333645.08851448528</v>
      </c>
      <c r="C136" s="31">
        <f t="shared" si="6"/>
        <v>2491.556657775538</v>
      </c>
      <c r="D136" s="31">
        <f t="shared" si="7"/>
        <v>723.23768864876524</v>
      </c>
      <c r="E136" s="31">
        <f t="shared" si="8"/>
        <v>1768.3189691267726</v>
      </c>
      <c r="F136" s="31">
        <f t="shared" si="9"/>
        <v>332921.85082583653</v>
      </c>
    </row>
    <row r="137" spans="1:6" x14ac:dyDescent="0.25">
      <c r="A137" s="30">
        <f t="shared" si="10"/>
        <v>128</v>
      </c>
      <c r="B137" s="31">
        <f t="shared" si="11"/>
        <v>332921.85082583653</v>
      </c>
      <c r="C137" s="31">
        <f t="shared" si="6"/>
        <v>2491.556657775538</v>
      </c>
      <c r="D137" s="31">
        <f t="shared" si="7"/>
        <v>727.07084839860352</v>
      </c>
      <c r="E137" s="31">
        <f t="shared" si="8"/>
        <v>1764.485809376934</v>
      </c>
      <c r="F137" s="31">
        <f t="shared" si="9"/>
        <v>332194.77997743792</v>
      </c>
    </row>
    <row r="138" spans="1:6" x14ac:dyDescent="0.25">
      <c r="A138" s="30">
        <f t="shared" si="10"/>
        <v>129</v>
      </c>
      <c r="B138" s="31">
        <f t="shared" si="11"/>
        <v>332194.77997743792</v>
      </c>
      <c r="C138" s="31">
        <f t="shared" ref="C138:C201" si="12">IFERROR(PMT(Assump_BaseRate/12,Assump_TermMos,-Assump_LoanAmt),0)</f>
        <v>2491.556657775538</v>
      </c>
      <c r="D138" s="31">
        <f t="shared" ref="D138:D201" si="13">IFERROR(PPMT(Assump_BaseRate/12,A138,Assump_TermMos,-Assump_LoanAmt),0)</f>
        <v>730.92432389511623</v>
      </c>
      <c r="E138" s="31">
        <f t="shared" ref="E138:E201" si="14">IFERROR(IPMT(Assump_BaseRate/12,A138,Assump_TermMos,-Assump_LoanAmt),0)</f>
        <v>1760.632333880422</v>
      </c>
      <c r="F138" s="31">
        <f t="shared" ref="F138:F201" si="15">IFERROR(B138-D138,0)</f>
        <v>331463.85565354279</v>
      </c>
    </row>
    <row r="139" spans="1:6" x14ac:dyDescent="0.25">
      <c r="A139" s="30">
        <f t="shared" ref="A139:A202" si="16">A138+1</f>
        <v>130</v>
      </c>
      <c r="B139" s="31">
        <f t="shared" ref="B139:B202" si="17">F138</f>
        <v>331463.85565354279</v>
      </c>
      <c r="C139" s="31">
        <f t="shared" si="12"/>
        <v>2491.556657775538</v>
      </c>
      <c r="D139" s="31">
        <f t="shared" si="13"/>
        <v>734.79822281176041</v>
      </c>
      <c r="E139" s="31">
        <f t="shared" si="14"/>
        <v>1756.7584349637775</v>
      </c>
      <c r="F139" s="31">
        <f t="shared" si="15"/>
        <v>330729.05743073102</v>
      </c>
    </row>
    <row r="140" spans="1:6" x14ac:dyDescent="0.25">
      <c r="A140" s="30">
        <f t="shared" si="16"/>
        <v>131</v>
      </c>
      <c r="B140" s="31">
        <f t="shared" si="17"/>
        <v>330729.05743073102</v>
      </c>
      <c r="C140" s="31">
        <f t="shared" si="12"/>
        <v>2491.556657775538</v>
      </c>
      <c r="D140" s="31">
        <f t="shared" si="13"/>
        <v>738.69265339266281</v>
      </c>
      <c r="E140" s="31">
        <f t="shared" si="14"/>
        <v>1752.8640043828752</v>
      </c>
      <c r="F140" s="31">
        <f t="shared" si="15"/>
        <v>329990.36477733834</v>
      </c>
    </row>
    <row r="141" spans="1:6" x14ac:dyDescent="0.25">
      <c r="A141" s="30">
        <f t="shared" si="16"/>
        <v>132</v>
      </c>
      <c r="B141" s="31">
        <f t="shared" si="17"/>
        <v>329990.36477733834</v>
      </c>
      <c r="C141" s="31">
        <f t="shared" si="12"/>
        <v>2491.556657775538</v>
      </c>
      <c r="D141" s="31">
        <f t="shared" si="13"/>
        <v>742.60772445564385</v>
      </c>
      <c r="E141" s="31">
        <f t="shared" si="14"/>
        <v>1748.9489333198942</v>
      </c>
      <c r="F141" s="31">
        <f t="shared" si="15"/>
        <v>329247.75705288269</v>
      </c>
    </row>
    <row r="142" spans="1:6" x14ac:dyDescent="0.25">
      <c r="A142" s="30">
        <f t="shared" si="16"/>
        <v>133</v>
      </c>
      <c r="B142" s="31">
        <f t="shared" si="17"/>
        <v>329247.75705288269</v>
      </c>
      <c r="C142" s="31">
        <f t="shared" si="12"/>
        <v>2491.556657775538</v>
      </c>
      <c r="D142" s="31">
        <f t="shared" si="13"/>
        <v>746.54354539525877</v>
      </c>
      <c r="E142" s="31">
        <f t="shared" si="14"/>
        <v>1745.0131123802792</v>
      </c>
      <c r="F142" s="31">
        <f t="shared" si="15"/>
        <v>328501.21350748744</v>
      </c>
    </row>
    <row r="143" spans="1:6" x14ac:dyDescent="0.25">
      <c r="A143" s="30">
        <f t="shared" si="16"/>
        <v>134</v>
      </c>
      <c r="B143" s="31">
        <f t="shared" si="17"/>
        <v>328501.21350748744</v>
      </c>
      <c r="C143" s="31">
        <f t="shared" si="12"/>
        <v>2491.556657775538</v>
      </c>
      <c r="D143" s="31">
        <f t="shared" si="13"/>
        <v>750.50022618585365</v>
      </c>
      <c r="E143" s="31">
        <f t="shared" si="14"/>
        <v>1741.0564315896843</v>
      </c>
      <c r="F143" s="31">
        <f t="shared" si="15"/>
        <v>327750.71328130161</v>
      </c>
    </row>
    <row r="144" spans="1:6" x14ac:dyDescent="0.25">
      <c r="A144" s="30">
        <f t="shared" si="16"/>
        <v>135</v>
      </c>
      <c r="B144" s="31">
        <f t="shared" si="17"/>
        <v>327750.71328130161</v>
      </c>
      <c r="C144" s="31">
        <f t="shared" si="12"/>
        <v>2491.556657775538</v>
      </c>
      <c r="D144" s="31">
        <f t="shared" si="13"/>
        <v>754.47787738463853</v>
      </c>
      <c r="E144" s="31">
        <f t="shared" si="14"/>
        <v>1737.0787803908991</v>
      </c>
      <c r="F144" s="31">
        <f t="shared" si="15"/>
        <v>326996.23540391697</v>
      </c>
    </row>
    <row r="145" spans="1:6" x14ac:dyDescent="0.25">
      <c r="A145" s="30">
        <f t="shared" si="16"/>
        <v>136</v>
      </c>
      <c r="B145" s="31">
        <f t="shared" si="17"/>
        <v>326996.23540391697</v>
      </c>
      <c r="C145" s="31">
        <f t="shared" si="12"/>
        <v>2491.556657775538</v>
      </c>
      <c r="D145" s="31">
        <f t="shared" si="13"/>
        <v>758.47661013477705</v>
      </c>
      <c r="E145" s="31">
        <f t="shared" si="14"/>
        <v>1733.0800476407605</v>
      </c>
      <c r="F145" s="31">
        <f t="shared" si="15"/>
        <v>326237.75879378221</v>
      </c>
    </row>
    <row r="146" spans="1:6" x14ac:dyDescent="0.25">
      <c r="A146" s="30">
        <f t="shared" si="16"/>
        <v>137</v>
      </c>
      <c r="B146" s="31">
        <f t="shared" si="17"/>
        <v>326237.75879378221</v>
      </c>
      <c r="C146" s="31">
        <f t="shared" si="12"/>
        <v>2491.556657775538</v>
      </c>
      <c r="D146" s="31">
        <f t="shared" si="13"/>
        <v>762.49653616849162</v>
      </c>
      <c r="E146" s="31">
        <f t="shared" si="14"/>
        <v>1729.0601216070463</v>
      </c>
      <c r="F146" s="31">
        <f t="shared" si="15"/>
        <v>325475.26225761371</v>
      </c>
    </row>
    <row r="147" spans="1:6" x14ac:dyDescent="0.25">
      <c r="A147" s="30">
        <f t="shared" si="16"/>
        <v>138</v>
      </c>
      <c r="B147" s="31">
        <f t="shared" si="17"/>
        <v>325475.26225761371</v>
      </c>
      <c r="C147" s="31">
        <f t="shared" si="12"/>
        <v>2491.556657775538</v>
      </c>
      <c r="D147" s="31">
        <f t="shared" si="13"/>
        <v>766.5377678101845</v>
      </c>
      <c r="E147" s="31">
        <f t="shared" si="14"/>
        <v>1725.0188899653533</v>
      </c>
      <c r="F147" s="31">
        <f t="shared" si="15"/>
        <v>324708.72448980354</v>
      </c>
    </row>
    <row r="148" spans="1:6" x14ac:dyDescent="0.25">
      <c r="A148" s="30">
        <f t="shared" si="16"/>
        <v>139</v>
      </c>
      <c r="B148" s="31">
        <f t="shared" si="17"/>
        <v>324708.72448980354</v>
      </c>
      <c r="C148" s="31">
        <f t="shared" si="12"/>
        <v>2491.556657775538</v>
      </c>
      <c r="D148" s="31">
        <f t="shared" si="13"/>
        <v>770.60041797957854</v>
      </c>
      <c r="E148" s="31">
        <f t="shared" si="14"/>
        <v>1720.9562397959594</v>
      </c>
      <c r="F148" s="31">
        <f t="shared" si="15"/>
        <v>323938.12407182396</v>
      </c>
    </row>
    <row r="149" spans="1:6" x14ac:dyDescent="0.25">
      <c r="A149" s="30">
        <f t="shared" si="16"/>
        <v>140</v>
      </c>
      <c r="B149" s="31">
        <f t="shared" si="17"/>
        <v>323938.12407182396</v>
      </c>
      <c r="C149" s="31">
        <f t="shared" si="12"/>
        <v>2491.556657775538</v>
      </c>
      <c r="D149" s="31">
        <f t="shared" si="13"/>
        <v>774.6846001948702</v>
      </c>
      <c r="E149" s="31">
        <f t="shared" si="14"/>
        <v>1716.8720575806676</v>
      </c>
      <c r="F149" s="31">
        <f t="shared" si="15"/>
        <v>323163.4394716291</v>
      </c>
    </row>
    <row r="150" spans="1:6" x14ac:dyDescent="0.25">
      <c r="A150" s="30">
        <f t="shared" si="16"/>
        <v>141</v>
      </c>
      <c r="B150" s="31">
        <f t="shared" si="17"/>
        <v>323163.4394716291</v>
      </c>
      <c r="C150" s="31">
        <f t="shared" si="12"/>
        <v>2491.556657775538</v>
      </c>
      <c r="D150" s="31">
        <f t="shared" si="13"/>
        <v>778.79042857590309</v>
      </c>
      <c r="E150" s="31">
        <f t="shared" si="14"/>
        <v>1712.7662291996348</v>
      </c>
      <c r="F150" s="31">
        <f t="shared" si="15"/>
        <v>322384.64904305321</v>
      </c>
    </row>
    <row r="151" spans="1:6" x14ac:dyDescent="0.25">
      <c r="A151" s="30">
        <f t="shared" si="16"/>
        <v>142</v>
      </c>
      <c r="B151" s="31">
        <f t="shared" si="17"/>
        <v>322384.64904305321</v>
      </c>
      <c r="C151" s="31">
        <f t="shared" si="12"/>
        <v>2491.556657775538</v>
      </c>
      <c r="D151" s="31">
        <f t="shared" si="13"/>
        <v>782.91801784735537</v>
      </c>
      <c r="E151" s="31">
        <f t="shared" si="14"/>
        <v>1708.6386399281826</v>
      </c>
      <c r="F151" s="31">
        <f t="shared" si="15"/>
        <v>321601.73102520587</v>
      </c>
    </row>
    <row r="152" spans="1:6" x14ac:dyDescent="0.25">
      <c r="A152" s="30">
        <f t="shared" si="16"/>
        <v>143</v>
      </c>
      <c r="B152" s="31">
        <f t="shared" si="17"/>
        <v>321601.73102520587</v>
      </c>
      <c r="C152" s="31">
        <f t="shared" si="12"/>
        <v>2491.556657775538</v>
      </c>
      <c r="D152" s="31">
        <f t="shared" si="13"/>
        <v>787.06748334194629</v>
      </c>
      <c r="E152" s="31">
        <f t="shared" si="14"/>
        <v>1704.4891744335914</v>
      </c>
      <c r="F152" s="31">
        <f t="shared" si="15"/>
        <v>320814.66354186391</v>
      </c>
    </row>
    <row r="153" spans="1:6" x14ac:dyDescent="0.25">
      <c r="A153" s="30">
        <f t="shared" si="16"/>
        <v>144</v>
      </c>
      <c r="B153" s="31">
        <f t="shared" si="17"/>
        <v>320814.66354186391</v>
      </c>
      <c r="C153" s="31">
        <f t="shared" si="12"/>
        <v>2491.556657775538</v>
      </c>
      <c r="D153" s="31">
        <f t="shared" si="13"/>
        <v>791.23894100365885</v>
      </c>
      <c r="E153" s="31">
        <f t="shared" si="14"/>
        <v>1700.3177167718791</v>
      </c>
      <c r="F153" s="31">
        <f t="shared" si="15"/>
        <v>320023.42460086022</v>
      </c>
    </row>
    <row r="154" spans="1:6" x14ac:dyDescent="0.25">
      <c r="A154" s="30">
        <f t="shared" si="16"/>
        <v>145</v>
      </c>
      <c r="B154" s="31">
        <f t="shared" si="17"/>
        <v>320023.42460086022</v>
      </c>
      <c r="C154" s="31">
        <f t="shared" si="12"/>
        <v>2491.556657775538</v>
      </c>
      <c r="D154" s="31">
        <f t="shared" si="13"/>
        <v>795.432507390978</v>
      </c>
      <c r="E154" s="31">
        <f t="shared" si="14"/>
        <v>1696.1241503845597</v>
      </c>
      <c r="F154" s="31">
        <f t="shared" si="15"/>
        <v>319227.99209346925</v>
      </c>
    </row>
    <row r="155" spans="1:6" x14ac:dyDescent="0.25">
      <c r="A155" s="30">
        <f t="shared" si="16"/>
        <v>146</v>
      </c>
      <c r="B155" s="31">
        <f t="shared" si="17"/>
        <v>319227.99209346925</v>
      </c>
      <c r="C155" s="31">
        <f t="shared" si="12"/>
        <v>2491.556657775538</v>
      </c>
      <c r="D155" s="31">
        <f t="shared" si="13"/>
        <v>799.64829968015033</v>
      </c>
      <c r="E155" s="31">
        <f t="shared" si="14"/>
        <v>1691.9083580953877</v>
      </c>
      <c r="F155" s="31">
        <f t="shared" si="15"/>
        <v>318428.3437937891</v>
      </c>
    </row>
    <row r="156" spans="1:6" x14ac:dyDescent="0.25">
      <c r="A156" s="30">
        <f t="shared" si="16"/>
        <v>147</v>
      </c>
      <c r="B156" s="31">
        <f t="shared" si="17"/>
        <v>318428.3437937891</v>
      </c>
      <c r="C156" s="31">
        <f t="shared" si="12"/>
        <v>2491.556657775538</v>
      </c>
      <c r="D156" s="31">
        <f t="shared" si="13"/>
        <v>803.88643566845496</v>
      </c>
      <c r="E156" s="31">
        <f t="shared" si="14"/>
        <v>1687.6702221070825</v>
      </c>
      <c r="F156" s="31">
        <f t="shared" si="15"/>
        <v>317624.45735812065</v>
      </c>
    </row>
    <row r="157" spans="1:6" x14ac:dyDescent="0.25">
      <c r="A157" s="30">
        <f t="shared" si="16"/>
        <v>148</v>
      </c>
      <c r="B157" s="31">
        <f t="shared" si="17"/>
        <v>317624.45735812065</v>
      </c>
      <c r="C157" s="31">
        <f t="shared" si="12"/>
        <v>2491.556657775538</v>
      </c>
      <c r="D157" s="31">
        <f t="shared" si="13"/>
        <v>808.14703377749788</v>
      </c>
      <c r="E157" s="31">
        <f t="shared" si="14"/>
        <v>1683.4096239980402</v>
      </c>
      <c r="F157" s="31">
        <f t="shared" si="15"/>
        <v>316816.31032434315</v>
      </c>
    </row>
    <row r="158" spans="1:6" x14ac:dyDescent="0.25">
      <c r="A158" s="30">
        <f t="shared" si="16"/>
        <v>149</v>
      </c>
      <c r="B158" s="31">
        <f t="shared" si="17"/>
        <v>316816.31032434315</v>
      </c>
      <c r="C158" s="31">
        <f t="shared" si="12"/>
        <v>2491.556657775538</v>
      </c>
      <c r="D158" s="31">
        <f t="shared" si="13"/>
        <v>812.4302130565186</v>
      </c>
      <c r="E158" s="31">
        <f t="shared" si="14"/>
        <v>1679.126444719019</v>
      </c>
      <c r="F158" s="31">
        <f t="shared" si="15"/>
        <v>316003.88011128665</v>
      </c>
    </row>
    <row r="159" spans="1:6" x14ac:dyDescent="0.25">
      <c r="A159" s="30">
        <f t="shared" si="16"/>
        <v>150</v>
      </c>
      <c r="B159" s="31">
        <f t="shared" si="17"/>
        <v>316003.88011128665</v>
      </c>
      <c r="C159" s="31">
        <f t="shared" si="12"/>
        <v>2491.556657775538</v>
      </c>
      <c r="D159" s="31">
        <f t="shared" si="13"/>
        <v>816.73609318571823</v>
      </c>
      <c r="E159" s="31">
        <f t="shared" si="14"/>
        <v>1674.8205645898199</v>
      </c>
      <c r="F159" s="31">
        <f t="shared" si="15"/>
        <v>315187.14401810092</v>
      </c>
    </row>
    <row r="160" spans="1:6" x14ac:dyDescent="0.25">
      <c r="A160" s="30">
        <f t="shared" si="16"/>
        <v>151</v>
      </c>
      <c r="B160" s="31">
        <f t="shared" si="17"/>
        <v>315187.14401810092</v>
      </c>
      <c r="C160" s="31">
        <f t="shared" si="12"/>
        <v>2491.556657775538</v>
      </c>
      <c r="D160" s="31">
        <f t="shared" si="13"/>
        <v>821.06479447960248</v>
      </c>
      <c r="E160" s="31">
        <f t="shared" si="14"/>
        <v>1670.4918632959352</v>
      </c>
      <c r="F160" s="31">
        <f t="shared" si="15"/>
        <v>314366.07922362135</v>
      </c>
    </row>
    <row r="161" spans="1:6" x14ac:dyDescent="0.25">
      <c r="A161" s="30">
        <f t="shared" si="16"/>
        <v>152</v>
      </c>
      <c r="B161" s="31">
        <f t="shared" si="17"/>
        <v>314366.07922362135</v>
      </c>
      <c r="C161" s="31">
        <f t="shared" si="12"/>
        <v>2491.556657775538</v>
      </c>
      <c r="D161" s="31">
        <f t="shared" si="13"/>
        <v>825.41643789034435</v>
      </c>
      <c r="E161" s="31">
        <f t="shared" si="14"/>
        <v>1666.1402198851933</v>
      </c>
      <c r="F161" s="31">
        <f t="shared" si="15"/>
        <v>313540.66278573102</v>
      </c>
    </row>
    <row r="162" spans="1:6" x14ac:dyDescent="0.25">
      <c r="A162" s="30">
        <f t="shared" si="16"/>
        <v>153</v>
      </c>
      <c r="B162" s="31">
        <f t="shared" si="17"/>
        <v>313540.66278573102</v>
      </c>
      <c r="C162" s="31">
        <f t="shared" si="12"/>
        <v>2491.556657775538</v>
      </c>
      <c r="D162" s="31">
        <f t="shared" si="13"/>
        <v>829.79114501116328</v>
      </c>
      <c r="E162" s="31">
        <f t="shared" si="14"/>
        <v>1661.7655127643748</v>
      </c>
      <c r="F162" s="31">
        <f t="shared" si="15"/>
        <v>312710.87164071988</v>
      </c>
    </row>
    <row r="163" spans="1:6" x14ac:dyDescent="0.25">
      <c r="A163" s="30">
        <f t="shared" si="16"/>
        <v>154</v>
      </c>
      <c r="B163" s="31">
        <f t="shared" si="17"/>
        <v>312710.87164071988</v>
      </c>
      <c r="C163" s="31">
        <f t="shared" si="12"/>
        <v>2491.556657775538</v>
      </c>
      <c r="D163" s="31">
        <f t="shared" si="13"/>
        <v>834.18903807972231</v>
      </c>
      <c r="E163" s="31">
        <f t="shared" si="14"/>
        <v>1657.3676196958154</v>
      </c>
      <c r="F163" s="31">
        <f t="shared" si="15"/>
        <v>311876.68260264018</v>
      </c>
    </row>
    <row r="164" spans="1:6" x14ac:dyDescent="0.25">
      <c r="A164" s="30">
        <f t="shared" si="16"/>
        <v>155</v>
      </c>
      <c r="B164" s="31">
        <f t="shared" si="17"/>
        <v>311876.68260264018</v>
      </c>
      <c r="C164" s="31">
        <f t="shared" si="12"/>
        <v>2491.556657775538</v>
      </c>
      <c r="D164" s="31">
        <f t="shared" si="13"/>
        <v>838.61023998154485</v>
      </c>
      <c r="E164" s="31">
        <f t="shared" si="14"/>
        <v>1652.9464177939933</v>
      </c>
      <c r="F164" s="31">
        <f t="shared" si="15"/>
        <v>311038.07236265863</v>
      </c>
    </row>
    <row r="165" spans="1:6" x14ac:dyDescent="0.25">
      <c r="A165" s="30">
        <f t="shared" si="16"/>
        <v>156</v>
      </c>
      <c r="B165" s="31">
        <f t="shared" si="17"/>
        <v>311038.07236265863</v>
      </c>
      <c r="C165" s="31">
        <f t="shared" si="12"/>
        <v>2491.556657775538</v>
      </c>
      <c r="D165" s="31">
        <f t="shared" si="13"/>
        <v>843.054874253447</v>
      </c>
      <c r="E165" s="31">
        <f t="shared" si="14"/>
        <v>1648.501783522091</v>
      </c>
      <c r="F165" s="31">
        <f t="shared" si="15"/>
        <v>310195.01748840517</v>
      </c>
    </row>
    <row r="166" spans="1:6" x14ac:dyDescent="0.25">
      <c r="A166" s="30">
        <f t="shared" si="16"/>
        <v>157</v>
      </c>
      <c r="B166" s="31">
        <f t="shared" si="17"/>
        <v>310195.01748840517</v>
      </c>
      <c r="C166" s="31">
        <f t="shared" si="12"/>
        <v>2491.556657775538</v>
      </c>
      <c r="D166" s="31">
        <f t="shared" si="13"/>
        <v>847.52306508699041</v>
      </c>
      <c r="E166" s="31">
        <f t="shared" si="14"/>
        <v>1644.0335926885473</v>
      </c>
      <c r="F166" s="31">
        <f t="shared" si="15"/>
        <v>309347.49442331819</v>
      </c>
    </row>
    <row r="167" spans="1:6" x14ac:dyDescent="0.25">
      <c r="A167" s="30">
        <f t="shared" si="16"/>
        <v>158</v>
      </c>
      <c r="B167" s="31">
        <f t="shared" si="17"/>
        <v>309347.49442331819</v>
      </c>
      <c r="C167" s="31">
        <f t="shared" si="12"/>
        <v>2491.556657775538</v>
      </c>
      <c r="D167" s="31">
        <f t="shared" si="13"/>
        <v>852.01493733195139</v>
      </c>
      <c r="E167" s="31">
        <f t="shared" si="14"/>
        <v>1639.5417204435864</v>
      </c>
      <c r="F167" s="31">
        <f t="shared" si="15"/>
        <v>308495.47948598623</v>
      </c>
    </row>
    <row r="168" spans="1:6" x14ac:dyDescent="0.25">
      <c r="A168" s="30">
        <f t="shared" si="16"/>
        <v>159</v>
      </c>
      <c r="B168" s="31">
        <f t="shared" si="17"/>
        <v>308495.47948598623</v>
      </c>
      <c r="C168" s="31">
        <f t="shared" si="12"/>
        <v>2491.556657775538</v>
      </c>
      <c r="D168" s="31">
        <f t="shared" si="13"/>
        <v>856.53061649981078</v>
      </c>
      <c r="E168" s="31">
        <f t="shared" si="14"/>
        <v>1635.026041275727</v>
      </c>
      <c r="F168" s="31">
        <f t="shared" si="15"/>
        <v>307638.9488694864</v>
      </c>
    </row>
    <row r="169" spans="1:6" x14ac:dyDescent="0.25">
      <c r="A169" s="30">
        <f t="shared" si="16"/>
        <v>160</v>
      </c>
      <c r="B169" s="31">
        <f t="shared" si="17"/>
        <v>307638.9488694864</v>
      </c>
      <c r="C169" s="31">
        <f t="shared" si="12"/>
        <v>2491.556657775538</v>
      </c>
      <c r="D169" s="31">
        <f t="shared" si="13"/>
        <v>861.07022876725978</v>
      </c>
      <c r="E169" s="31">
        <f t="shared" si="14"/>
        <v>1630.4864290082783</v>
      </c>
      <c r="F169" s="31">
        <f t="shared" si="15"/>
        <v>306777.87864071917</v>
      </c>
    </row>
    <row r="170" spans="1:6" x14ac:dyDescent="0.25">
      <c r="A170" s="30">
        <f t="shared" si="16"/>
        <v>161</v>
      </c>
      <c r="B170" s="31">
        <f t="shared" si="17"/>
        <v>306777.87864071917</v>
      </c>
      <c r="C170" s="31">
        <f t="shared" si="12"/>
        <v>2491.556657775538</v>
      </c>
      <c r="D170" s="31">
        <f t="shared" si="13"/>
        <v>865.63390097972626</v>
      </c>
      <c r="E170" s="31">
        <f t="shared" si="14"/>
        <v>1625.9227567958117</v>
      </c>
      <c r="F170" s="31">
        <f t="shared" si="15"/>
        <v>305912.24473973946</v>
      </c>
    </row>
    <row r="171" spans="1:6" x14ac:dyDescent="0.25">
      <c r="A171" s="30">
        <f t="shared" si="16"/>
        <v>162</v>
      </c>
      <c r="B171" s="31">
        <f t="shared" si="17"/>
        <v>305912.24473973946</v>
      </c>
      <c r="C171" s="31">
        <f t="shared" si="12"/>
        <v>2491.556657775538</v>
      </c>
      <c r="D171" s="31">
        <f t="shared" si="13"/>
        <v>870.22176065491874</v>
      </c>
      <c r="E171" s="31">
        <f t="shared" si="14"/>
        <v>1621.3348971206192</v>
      </c>
      <c r="F171" s="31">
        <f t="shared" si="15"/>
        <v>305042.02297908452</v>
      </c>
    </row>
    <row r="172" spans="1:6" x14ac:dyDescent="0.25">
      <c r="A172" s="30">
        <f t="shared" si="16"/>
        <v>163</v>
      </c>
      <c r="B172" s="31">
        <f t="shared" si="17"/>
        <v>305042.02297908452</v>
      </c>
      <c r="C172" s="31">
        <f t="shared" si="12"/>
        <v>2491.556657775538</v>
      </c>
      <c r="D172" s="31">
        <f t="shared" si="13"/>
        <v>874.83393598638975</v>
      </c>
      <c r="E172" s="31">
        <f t="shared" si="14"/>
        <v>1616.722721789148</v>
      </c>
      <c r="F172" s="31">
        <f t="shared" si="15"/>
        <v>304167.18904309813</v>
      </c>
    </row>
    <row r="173" spans="1:6" x14ac:dyDescent="0.25">
      <c r="A173" s="30">
        <f t="shared" si="16"/>
        <v>164</v>
      </c>
      <c r="B173" s="31">
        <f t="shared" si="17"/>
        <v>304167.18904309813</v>
      </c>
      <c r="C173" s="31">
        <f t="shared" si="12"/>
        <v>2491.556657775538</v>
      </c>
      <c r="D173" s="31">
        <f t="shared" si="13"/>
        <v>879.47055584711768</v>
      </c>
      <c r="E173" s="31">
        <f t="shared" si="14"/>
        <v>1612.08610192842</v>
      </c>
      <c r="F173" s="31">
        <f t="shared" si="15"/>
        <v>303287.71848725103</v>
      </c>
    </row>
    <row r="174" spans="1:6" x14ac:dyDescent="0.25">
      <c r="A174" s="30">
        <f t="shared" si="16"/>
        <v>165</v>
      </c>
      <c r="B174" s="31">
        <f t="shared" si="17"/>
        <v>303287.71848725103</v>
      </c>
      <c r="C174" s="31">
        <f t="shared" si="12"/>
        <v>2491.556657775538</v>
      </c>
      <c r="D174" s="31">
        <f t="shared" si="13"/>
        <v>884.13174979310736</v>
      </c>
      <c r="E174" s="31">
        <f t="shared" si="14"/>
        <v>1607.4249079824303</v>
      </c>
      <c r="F174" s="31">
        <f t="shared" si="15"/>
        <v>302403.5867374579</v>
      </c>
    </row>
    <row r="175" spans="1:6" x14ac:dyDescent="0.25">
      <c r="A175" s="30">
        <f t="shared" si="16"/>
        <v>166</v>
      </c>
      <c r="B175" s="31">
        <f t="shared" si="17"/>
        <v>302403.5867374579</v>
      </c>
      <c r="C175" s="31">
        <f t="shared" si="12"/>
        <v>2491.556657775538</v>
      </c>
      <c r="D175" s="31">
        <f t="shared" si="13"/>
        <v>888.81764806701096</v>
      </c>
      <c r="E175" s="31">
        <f t="shared" si="14"/>
        <v>1602.739009708527</v>
      </c>
      <c r="F175" s="31">
        <f t="shared" si="15"/>
        <v>301514.76908939087</v>
      </c>
    </row>
    <row r="176" spans="1:6" x14ac:dyDescent="0.25">
      <c r="A176" s="30">
        <f t="shared" si="16"/>
        <v>167</v>
      </c>
      <c r="B176" s="31">
        <f t="shared" si="17"/>
        <v>301514.76908939087</v>
      </c>
      <c r="C176" s="31">
        <f t="shared" si="12"/>
        <v>2491.556657775538</v>
      </c>
      <c r="D176" s="31">
        <f t="shared" si="13"/>
        <v>893.528381601766</v>
      </c>
      <c r="E176" s="31">
        <f t="shared" si="14"/>
        <v>1598.0282761737717</v>
      </c>
      <c r="F176" s="31">
        <f t="shared" si="15"/>
        <v>300621.24070778908</v>
      </c>
    </row>
    <row r="177" spans="1:6" x14ac:dyDescent="0.25">
      <c r="A177" s="30">
        <f t="shared" si="16"/>
        <v>168</v>
      </c>
      <c r="B177" s="31">
        <f t="shared" si="17"/>
        <v>300621.24070778908</v>
      </c>
      <c r="C177" s="31">
        <f t="shared" si="12"/>
        <v>2491.556657775538</v>
      </c>
      <c r="D177" s="31">
        <f t="shared" si="13"/>
        <v>898.26408202425534</v>
      </c>
      <c r="E177" s="31">
        <f t="shared" si="14"/>
        <v>1593.2925757512824</v>
      </c>
      <c r="F177" s="31">
        <f t="shared" si="15"/>
        <v>299722.9766257648</v>
      </c>
    </row>
    <row r="178" spans="1:6" x14ac:dyDescent="0.25">
      <c r="A178" s="30">
        <f t="shared" si="16"/>
        <v>169</v>
      </c>
      <c r="B178" s="31">
        <f t="shared" si="17"/>
        <v>299722.9766257648</v>
      </c>
      <c r="C178" s="31">
        <f t="shared" si="12"/>
        <v>2491.556657775538</v>
      </c>
      <c r="D178" s="31">
        <f t="shared" si="13"/>
        <v>903.02488165898387</v>
      </c>
      <c r="E178" s="31">
        <f t="shared" si="14"/>
        <v>1588.5317761165538</v>
      </c>
      <c r="F178" s="31">
        <f t="shared" si="15"/>
        <v>298819.95174410584</v>
      </c>
    </row>
    <row r="179" spans="1:6" x14ac:dyDescent="0.25">
      <c r="A179" s="30">
        <f t="shared" si="16"/>
        <v>170</v>
      </c>
      <c r="B179" s="31">
        <f t="shared" si="17"/>
        <v>298819.95174410584</v>
      </c>
      <c r="C179" s="31">
        <f t="shared" si="12"/>
        <v>2491.556657775538</v>
      </c>
      <c r="D179" s="31">
        <f t="shared" si="13"/>
        <v>907.81091353177658</v>
      </c>
      <c r="E179" s="31">
        <f t="shared" si="14"/>
        <v>1583.7457442437612</v>
      </c>
      <c r="F179" s="31">
        <f t="shared" si="15"/>
        <v>297912.14083057409</v>
      </c>
    </row>
    <row r="180" spans="1:6" x14ac:dyDescent="0.25">
      <c r="A180" s="30">
        <f t="shared" si="16"/>
        <v>171</v>
      </c>
      <c r="B180" s="31">
        <f t="shared" si="17"/>
        <v>297912.14083057409</v>
      </c>
      <c r="C180" s="31">
        <f t="shared" si="12"/>
        <v>2491.556657775538</v>
      </c>
      <c r="D180" s="31">
        <f t="shared" si="13"/>
        <v>912.62231137349499</v>
      </c>
      <c r="E180" s="31">
        <f t="shared" si="14"/>
        <v>1578.9343464020426</v>
      </c>
      <c r="F180" s="31">
        <f t="shared" si="15"/>
        <v>296999.51851920062</v>
      </c>
    </row>
    <row r="181" spans="1:6" x14ac:dyDescent="0.25">
      <c r="A181" s="30">
        <f t="shared" si="16"/>
        <v>172</v>
      </c>
      <c r="B181" s="31">
        <f t="shared" si="17"/>
        <v>296999.51851920062</v>
      </c>
      <c r="C181" s="31">
        <f t="shared" si="12"/>
        <v>2491.556657775538</v>
      </c>
      <c r="D181" s="31">
        <f t="shared" si="13"/>
        <v>917.45920962377443</v>
      </c>
      <c r="E181" s="31">
        <f t="shared" si="14"/>
        <v>1574.0974481517633</v>
      </c>
      <c r="F181" s="31">
        <f t="shared" si="15"/>
        <v>296082.05930957687</v>
      </c>
    </row>
    <row r="182" spans="1:6" x14ac:dyDescent="0.25">
      <c r="A182" s="30">
        <f t="shared" si="16"/>
        <v>173</v>
      </c>
      <c r="B182" s="31">
        <f t="shared" si="17"/>
        <v>296082.05930957687</v>
      </c>
      <c r="C182" s="31">
        <f t="shared" si="12"/>
        <v>2491.556657775538</v>
      </c>
      <c r="D182" s="31">
        <f t="shared" si="13"/>
        <v>922.32174343478039</v>
      </c>
      <c r="E182" s="31">
        <f t="shared" si="14"/>
        <v>1569.2349143407571</v>
      </c>
      <c r="F182" s="31">
        <f t="shared" si="15"/>
        <v>295159.73756614211</v>
      </c>
    </row>
    <row r="183" spans="1:6" x14ac:dyDescent="0.25">
      <c r="A183" s="30">
        <f t="shared" si="16"/>
        <v>174</v>
      </c>
      <c r="B183" s="31">
        <f t="shared" si="17"/>
        <v>295159.73756614211</v>
      </c>
      <c r="C183" s="31">
        <f t="shared" si="12"/>
        <v>2491.556657775538</v>
      </c>
      <c r="D183" s="31">
        <f t="shared" si="13"/>
        <v>927.21004867498493</v>
      </c>
      <c r="E183" s="31">
        <f t="shared" si="14"/>
        <v>1564.3466091005532</v>
      </c>
      <c r="F183" s="31">
        <f t="shared" si="15"/>
        <v>294232.5275174671</v>
      </c>
    </row>
    <row r="184" spans="1:6" x14ac:dyDescent="0.25">
      <c r="A184" s="30">
        <f t="shared" si="16"/>
        <v>175</v>
      </c>
      <c r="B184" s="31">
        <f t="shared" si="17"/>
        <v>294232.5275174671</v>
      </c>
      <c r="C184" s="31">
        <f t="shared" si="12"/>
        <v>2491.556657775538</v>
      </c>
      <c r="D184" s="31">
        <f t="shared" si="13"/>
        <v>932.12426193296221</v>
      </c>
      <c r="E184" s="31">
        <f t="shared" si="14"/>
        <v>1559.4323958425757</v>
      </c>
      <c r="F184" s="31">
        <f t="shared" si="15"/>
        <v>293300.40325553413</v>
      </c>
    </row>
    <row r="185" spans="1:6" x14ac:dyDescent="0.25">
      <c r="A185" s="30">
        <f t="shared" si="16"/>
        <v>176</v>
      </c>
      <c r="B185" s="31">
        <f t="shared" si="17"/>
        <v>293300.40325553413</v>
      </c>
      <c r="C185" s="31">
        <f t="shared" si="12"/>
        <v>2491.556657775538</v>
      </c>
      <c r="D185" s="31">
        <f t="shared" si="13"/>
        <v>937.06452052120699</v>
      </c>
      <c r="E185" s="31">
        <f t="shared" si="14"/>
        <v>1554.4921372543306</v>
      </c>
      <c r="F185" s="31">
        <f t="shared" si="15"/>
        <v>292363.33873501292</v>
      </c>
    </row>
    <row r="186" spans="1:6" x14ac:dyDescent="0.25">
      <c r="A186" s="30">
        <f t="shared" si="16"/>
        <v>177</v>
      </c>
      <c r="B186" s="31">
        <f t="shared" si="17"/>
        <v>292363.33873501292</v>
      </c>
      <c r="C186" s="31">
        <f t="shared" si="12"/>
        <v>2491.556657775538</v>
      </c>
      <c r="D186" s="31">
        <f t="shared" si="13"/>
        <v>942.03096247996939</v>
      </c>
      <c r="E186" s="31">
        <f t="shared" si="14"/>
        <v>1549.5256952955681</v>
      </c>
      <c r="F186" s="31">
        <f t="shared" si="15"/>
        <v>291421.30777253298</v>
      </c>
    </row>
    <row r="187" spans="1:6" x14ac:dyDescent="0.25">
      <c r="A187" s="30">
        <f t="shared" si="16"/>
        <v>178</v>
      </c>
      <c r="B187" s="31">
        <f t="shared" si="17"/>
        <v>291421.30777253298</v>
      </c>
      <c r="C187" s="31">
        <f t="shared" si="12"/>
        <v>2491.556657775538</v>
      </c>
      <c r="D187" s="31">
        <f t="shared" si="13"/>
        <v>947.02372658111324</v>
      </c>
      <c r="E187" s="31">
        <f t="shared" si="14"/>
        <v>1544.5329311944247</v>
      </c>
      <c r="F187" s="31">
        <f t="shared" si="15"/>
        <v>290474.28404595185</v>
      </c>
    </row>
    <row r="188" spans="1:6" x14ac:dyDescent="0.25">
      <c r="A188" s="30">
        <f t="shared" si="16"/>
        <v>179</v>
      </c>
      <c r="B188" s="31">
        <f t="shared" si="17"/>
        <v>290474.28404595185</v>
      </c>
      <c r="C188" s="31">
        <f t="shared" si="12"/>
        <v>2491.556657775538</v>
      </c>
      <c r="D188" s="31">
        <f t="shared" si="13"/>
        <v>952.04295233199298</v>
      </c>
      <c r="E188" s="31">
        <f t="shared" si="14"/>
        <v>1539.5137054435452</v>
      </c>
      <c r="F188" s="31">
        <f t="shared" si="15"/>
        <v>289522.24109361984</v>
      </c>
    </row>
    <row r="189" spans="1:6" x14ac:dyDescent="0.25">
      <c r="A189" s="30">
        <f t="shared" si="16"/>
        <v>180</v>
      </c>
      <c r="B189" s="31">
        <f t="shared" si="17"/>
        <v>289522.24109361984</v>
      </c>
      <c r="C189" s="31">
        <f t="shared" si="12"/>
        <v>2491.556657775538</v>
      </c>
      <c r="D189" s="31">
        <f t="shared" si="13"/>
        <v>957.08877997935269</v>
      </c>
      <c r="E189" s="31">
        <f t="shared" si="14"/>
        <v>1534.4678777961851</v>
      </c>
      <c r="F189" s="31">
        <f t="shared" si="15"/>
        <v>288565.15231364052</v>
      </c>
    </row>
    <row r="190" spans="1:6" x14ac:dyDescent="0.25">
      <c r="A190" s="30">
        <f t="shared" si="16"/>
        <v>181</v>
      </c>
      <c r="B190" s="31">
        <f t="shared" si="17"/>
        <v>288565.15231364052</v>
      </c>
      <c r="C190" s="31">
        <f t="shared" si="12"/>
        <v>2491.556657775538</v>
      </c>
      <c r="D190" s="31">
        <f t="shared" si="13"/>
        <v>962.16135051324318</v>
      </c>
      <c r="E190" s="31">
        <f t="shared" si="14"/>
        <v>1529.3953072622946</v>
      </c>
      <c r="F190" s="31">
        <f t="shared" si="15"/>
        <v>287602.99096312729</v>
      </c>
    </row>
    <row r="191" spans="1:6" x14ac:dyDescent="0.25">
      <c r="A191" s="30">
        <f t="shared" si="16"/>
        <v>182</v>
      </c>
      <c r="B191" s="31">
        <f t="shared" si="17"/>
        <v>287602.99096312729</v>
      </c>
      <c r="C191" s="31">
        <f t="shared" si="12"/>
        <v>2491.556657775538</v>
      </c>
      <c r="D191" s="31">
        <f t="shared" si="13"/>
        <v>967.26080567096335</v>
      </c>
      <c r="E191" s="31">
        <f t="shared" si="14"/>
        <v>1524.2958521045744</v>
      </c>
      <c r="F191" s="31">
        <f t="shared" si="15"/>
        <v>286635.7301574563</v>
      </c>
    </row>
    <row r="192" spans="1:6" x14ac:dyDescent="0.25">
      <c r="A192" s="30">
        <f t="shared" si="16"/>
        <v>183</v>
      </c>
      <c r="B192" s="31">
        <f t="shared" si="17"/>
        <v>286635.7301574563</v>
      </c>
      <c r="C192" s="31">
        <f t="shared" si="12"/>
        <v>2491.556657775538</v>
      </c>
      <c r="D192" s="31">
        <f t="shared" si="13"/>
        <v>972.38728794101951</v>
      </c>
      <c r="E192" s="31">
        <f t="shared" si="14"/>
        <v>1519.1693698345184</v>
      </c>
      <c r="F192" s="31">
        <f t="shared" si="15"/>
        <v>285663.3428695153</v>
      </c>
    </row>
    <row r="193" spans="1:6" x14ac:dyDescent="0.25">
      <c r="A193" s="30">
        <f t="shared" si="16"/>
        <v>184</v>
      </c>
      <c r="B193" s="31">
        <f t="shared" si="17"/>
        <v>285663.3428695153</v>
      </c>
      <c r="C193" s="31">
        <f t="shared" si="12"/>
        <v>2491.556657775538</v>
      </c>
      <c r="D193" s="31">
        <f t="shared" si="13"/>
        <v>977.54094056710687</v>
      </c>
      <c r="E193" s="31">
        <f t="shared" si="14"/>
        <v>1514.0157172084307</v>
      </c>
      <c r="F193" s="31">
        <f t="shared" si="15"/>
        <v>284685.8019289482</v>
      </c>
    </row>
    <row r="194" spans="1:6" x14ac:dyDescent="0.25">
      <c r="A194" s="30">
        <f t="shared" si="16"/>
        <v>185</v>
      </c>
      <c r="B194" s="31">
        <f t="shared" si="17"/>
        <v>284685.8019289482</v>
      </c>
      <c r="C194" s="31">
        <f t="shared" si="12"/>
        <v>2491.556657775538</v>
      </c>
      <c r="D194" s="31">
        <f t="shared" si="13"/>
        <v>982.72190755211261</v>
      </c>
      <c r="E194" s="31">
        <f t="shared" si="14"/>
        <v>1508.8347502234251</v>
      </c>
      <c r="F194" s="31">
        <f t="shared" si="15"/>
        <v>283703.0800213961</v>
      </c>
    </row>
    <row r="195" spans="1:6" x14ac:dyDescent="0.25">
      <c r="A195" s="30">
        <f t="shared" si="16"/>
        <v>186</v>
      </c>
      <c r="B195" s="31">
        <f t="shared" si="17"/>
        <v>283703.0800213961</v>
      </c>
      <c r="C195" s="31">
        <f t="shared" si="12"/>
        <v>2491.556657775538</v>
      </c>
      <c r="D195" s="31">
        <f t="shared" si="13"/>
        <v>987.93033366213865</v>
      </c>
      <c r="E195" s="31">
        <f t="shared" si="14"/>
        <v>1503.6263241133991</v>
      </c>
      <c r="F195" s="31">
        <f t="shared" si="15"/>
        <v>282715.14968773397</v>
      </c>
    </row>
    <row r="196" spans="1:6" x14ac:dyDescent="0.25">
      <c r="A196" s="30">
        <f t="shared" si="16"/>
        <v>187</v>
      </c>
      <c r="B196" s="31">
        <f t="shared" si="17"/>
        <v>282715.14968773397</v>
      </c>
      <c r="C196" s="31">
        <f t="shared" si="12"/>
        <v>2491.556657775538</v>
      </c>
      <c r="D196" s="31">
        <f t="shared" si="13"/>
        <v>993.16636443054813</v>
      </c>
      <c r="E196" s="31">
        <f t="shared" si="14"/>
        <v>1498.3902933449897</v>
      </c>
      <c r="F196" s="31">
        <f t="shared" si="15"/>
        <v>281721.9833233034</v>
      </c>
    </row>
    <row r="197" spans="1:6" x14ac:dyDescent="0.25">
      <c r="A197" s="30">
        <f t="shared" si="16"/>
        <v>188</v>
      </c>
      <c r="B197" s="31">
        <f t="shared" si="17"/>
        <v>281721.9833233034</v>
      </c>
      <c r="C197" s="31">
        <f t="shared" si="12"/>
        <v>2491.556657775538</v>
      </c>
      <c r="D197" s="31">
        <f t="shared" si="13"/>
        <v>998.43014616202993</v>
      </c>
      <c r="E197" s="31">
        <f t="shared" si="14"/>
        <v>1493.1265116135078</v>
      </c>
      <c r="F197" s="31">
        <f t="shared" si="15"/>
        <v>280723.55317714135</v>
      </c>
    </row>
    <row r="198" spans="1:6" x14ac:dyDescent="0.25">
      <c r="A198" s="30">
        <f t="shared" si="16"/>
        <v>189</v>
      </c>
      <c r="B198" s="31">
        <f t="shared" si="17"/>
        <v>280723.55317714135</v>
      </c>
      <c r="C198" s="31">
        <f t="shared" si="12"/>
        <v>2491.556657775538</v>
      </c>
      <c r="D198" s="31">
        <f t="shared" si="13"/>
        <v>1003.7218259366887</v>
      </c>
      <c r="E198" s="31">
        <f t="shared" si="14"/>
        <v>1487.8348318388491</v>
      </c>
      <c r="F198" s="31">
        <f t="shared" si="15"/>
        <v>279719.83135120466</v>
      </c>
    </row>
    <row r="199" spans="1:6" x14ac:dyDescent="0.25">
      <c r="A199" s="30">
        <f t="shared" si="16"/>
        <v>190</v>
      </c>
      <c r="B199" s="31">
        <f t="shared" si="17"/>
        <v>279719.83135120466</v>
      </c>
      <c r="C199" s="31">
        <f t="shared" si="12"/>
        <v>2491.556657775538</v>
      </c>
      <c r="D199" s="31">
        <f t="shared" si="13"/>
        <v>1009.0415516141533</v>
      </c>
      <c r="E199" s="31">
        <f t="shared" si="14"/>
        <v>1482.5151061613844</v>
      </c>
      <c r="F199" s="31">
        <f t="shared" si="15"/>
        <v>278710.78979959048</v>
      </c>
    </row>
    <row r="200" spans="1:6" x14ac:dyDescent="0.25">
      <c r="A200" s="30">
        <f t="shared" si="16"/>
        <v>191</v>
      </c>
      <c r="B200" s="31">
        <f t="shared" si="17"/>
        <v>278710.78979959048</v>
      </c>
      <c r="C200" s="31">
        <f t="shared" si="12"/>
        <v>2491.556657775538</v>
      </c>
      <c r="D200" s="31">
        <f t="shared" si="13"/>
        <v>1014.3894718377082</v>
      </c>
      <c r="E200" s="31">
        <f t="shared" si="14"/>
        <v>1477.1671859378296</v>
      </c>
      <c r="F200" s="31">
        <f t="shared" si="15"/>
        <v>277696.40032775275</v>
      </c>
    </row>
    <row r="201" spans="1:6" x14ac:dyDescent="0.25">
      <c r="A201" s="30">
        <f t="shared" si="16"/>
        <v>192</v>
      </c>
      <c r="B201" s="31">
        <f t="shared" si="17"/>
        <v>277696.40032775275</v>
      </c>
      <c r="C201" s="31">
        <f t="shared" si="12"/>
        <v>2491.556657775538</v>
      </c>
      <c r="D201" s="31">
        <f t="shared" si="13"/>
        <v>1019.765736038448</v>
      </c>
      <c r="E201" s="31">
        <f t="shared" si="14"/>
        <v>1471.7909217370895</v>
      </c>
      <c r="F201" s="31">
        <f t="shared" si="15"/>
        <v>276676.6345917143</v>
      </c>
    </row>
    <row r="202" spans="1:6" x14ac:dyDescent="0.25">
      <c r="A202" s="30">
        <f t="shared" si="16"/>
        <v>193</v>
      </c>
      <c r="B202" s="31">
        <f t="shared" si="17"/>
        <v>276676.6345917143</v>
      </c>
      <c r="C202" s="31">
        <f t="shared" ref="C202:C265" si="18">IFERROR(PMT(Assump_BaseRate/12,Assump_TermMos,-Assump_LoanAmt),0)</f>
        <v>2491.556657775538</v>
      </c>
      <c r="D202" s="31">
        <f t="shared" ref="D202:D265" si="19">IFERROR(PPMT(Assump_BaseRate/12,A202,Assump_TermMos,-Assump_LoanAmt),0)</f>
        <v>1025.1704944394519</v>
      </c>
      <c r="E202" s="31">
        <f t="shared" ref="E202:E265" si="20">IFERROR(IPMT(Assump_BaseRate/12,A202,Assump_TermMos,-Assump_LoanAmt),0)</f>
        <v>1466.3861633360862</v>
      </c>
      <c r="F202" s="31">
        <f t="shared" ref="F202:F265" si="21">IFERROR(B202-D202,0)</f>
        <v>275651.46409727487</v>
      </c>
    </row>
    <row r="203" spans="1:6" x14ac:dyDescent="0.25">
      <c r="A203" s="30">
        <f t="shared" ref="A203:A266" si="22">A202+1</f>
        <v>194</v>
      </c>
      <c r="B203" s="31">
        <f t="shared" ref="B203:B266" si="23">F202</f>
        <v>275651.46409727487</v>
      </c>
      <c r="C203" s="31">
        <f t="shared" si="18"/>
        <v>2491.556657775538</v>
      </c>
      <c r="D203" s="31">
        <f t="shared" si="19"/>
        <v>1030.603898059981</v>
      </c>
      <c r="E203" s="31">
        <f t="shared" si="20"/>
        <v>1460.9527597155568</v>
      </c>
      <c r="F203" s="31">
        <f t="shared" si="21"/>
        <v>274620.86019921489</v>
      </c>
    </row>
    <row r="204" spans="1:6" x14ac:dyDescent="0.25">
      <c r="A204" s="30">
        <f t="shared" si="22"/>
        <v>195</v>
      </c>
      <c r="B204" s="31">
        <f t="shared" si="23"/>
        <v>274620.86019921489</v>
      </c>
      <c r="C204" s="31">
        <f t="shared" si="18"/>
        <v>2491.556657775538</v>
      </c>
      <c r="D204" s="31">
        <f t="shared" si="19"/>
        <v>1036.0660987196989</v>
      </c>
      <c r="E204" s="31">
        <f t="shared" si="20"/>
        <v>1455.490559055839</v>
      </c>
      <c r="F204" s="31">
        <f t="shared" si="21"/>
        <v>273584.79410049517</v>
      </c>
    </row>
    <row r="205" spans="1:6" x14ac:dyDescent="0.25">
      <c r="A205" s="30">
        <f t="shared" si="22"/>
        <v>196</v>
      </c>
      <c r="B205" s="31">
        <f t="shared" si="23"/>
        <v>273584.79410049517</v>
      </c>
      <c r="C205" s="31">
        <f t="shared" si="18"/>
        <v>2491.556657775538</v>
      </c>
      <c r="D205" s="31">
        <f t="shared" si="19"/>
        <v>1041.5572490429133</v>
      </c>
      <c r="E205" s="31">
        <f t="shared" si="20"/>
        <v>1449.9994087326247</v>
      </c>
      <c r="F205" s="31">
        <f t="shared" si="21"/>
        <v>272543.23685145227</v>
      </c>
    </row>
    <row r="206" spans="1:6" x14ac:dyDescent="0.25">
      <c r="A206" s="30">
        <f t="shared" si="22"/>
        <v>197</v>
      </c>
      <c r="B206" s="31">
        <f t="shared" si="23"/>
        <v>272543.23685145227</v>
      </c>
      <c r="C206" s="31">
        <f t="shared" si="18"/>
        <v>2491.556657775538</v>
      </c>
      <c r="D206" s="31">
        <f t="shared" si="19"/>
        <v>1047.0775024628406</v>
      </c>
      <c r="E206" s="31">
        <f t="shared" si="20"/>
        <v>1444.479155312697</v>
      </c>
      <c r="F206" s="31">
        <f t="shared" si="21"/>
        <v>271496.15934898943</v>
      </c>
    </row>
    <row r="207" spans="1:6" x14ac:dyDescent="0.25">
      <c r="A207" s="30">
        <f t="shared" si="22"/>
        <v>198</v>
      </c>
      <c r="B207" s="31">
        <f t="shared" si="23"/>
        <v>271496.15934898943</v>
      </c>
      <c r="C207" s="31">
        <f t="shared" si="18"/>
        <v>2491.556657775538</v>
      </c>
      <c r="D207" s="31">
        <f t="shared" si="19"/>
        <v>1052.6270132258937</v>
      </c>
      <c r="E207" s="31">
        <f t="shared" si="20"/>
        <v>1438.9296445496441</v>
      </c>
      <c r="F207" s="31">
        <f t="shared" si="21"/>
        <v>270443.53233576356</v>
      </c>
    </row>
    <row r="208" spans="1:6" x14ac:dyDescent="0.25">
      <c r="A208" s="30">
        <f t="shared" si="22"/>
        <v>199</v>
      </c>
      <c r="B208" s="31">
        <f t="shared" si="23"/>
        <v>270443.53233576356</v>
      </c>
      <c r="C208" s="31">
        <f t="shared" si="18"/>
        <v>2491.556657775538</v>
      </c>
      <c r="D208" s="31">
        <f t="shared" si="19"/>
        <v>1058.2059363959909</v>
      </c>
      <c r="E208" s="31">
        <f t="shared" si="20"/>
        <v>1433.3507213795465</v>
      </c>
      <c r="F208" s="31">
        <f t="shared" si="21"/>
        <v>269385.32639936759</v>
      </c>
    </row>
    <row r="209" spans="1:6" x14ac:dyDescent="0.25">
      <c r="A209" s="30">
        <f t="shared" si="22"/>
        <v>200</v>
      </c>
      <c r="B209" s="31">
        <f t="shared" si="23"/>
        <v>269385.32639936759</v>
      </c>
      <c r="C209" s="31">
        <f t="shared" si="18"/>
        <v>2491.556657775538</v>
      </c>
      <c r="D209" s="31">
        <f t="shared" si="19"/>
        <v>1063.8144278588898</v>
      </c>
      <c r="E209" s="31">
        <f t="shared" si="20"/>
        <v>1427.7422299166481</v>
      </c>
      <c r="F209" s="31">
        <f t="shared" si="21"/>
        <v>268321.51197150868</v>
      </c>
    </row>
    <row r="210" spans="1:6" x14ac:dyDescent="0.25">
      <c r="A210" s="30">
        <f t="shared" si="22"/>
        <v>201</v>
      </c>
      <c r="B210" s="31">
        <f t="shared" si="23"/>
        <v>268321.51197150868</v>
      </c>
      <c r="C210" s="31">
        <f t="shared" si="18"/>
        <v>2491.556657775538</v>
      </c>
      <c r="D210" s="31">
        <f t="shared" si="19"/>
        <v>1069.4526443265418</v>
      </c>
      <c r="E210" s="31">
        <f t="shared" si="20"/>
        <v>1422.1040134489956</v>
      </c>
      <c r="F210" s="31">
        <f t="shared" si="21"/>
        <v>267252.05932718213</v>
      </c>
    </row>
    <row r="211" spans="1:6" x14ac:dyDescent="0.25">
      <c r="A211" s="30">
        <f t="shared" si="22"/>
        <v>202</v>
      </c>
      <c r="B211" s="31">
        <f t="shared" si="23"/>
        <v>267252.05932718213</v>
      </c>
      <c r="C211" s="31">
        <f t="shared" si="18"/>
        <v>2491.556657775538</v>
      </c>
      <c r="D211" s="31">
        <f t="shared" si="19"/>
        <v>1075.1207433414725</v>
      </c>
      <c r="E211" s="31">
        <f t="shared" si="20"/>
        <v>1416.4359144340654</v>
      </c>
      <c r="F211" s="31">
        <f t="shared" si="21"/>
        <v>266176.93858384067</v>
      </c>
    </row>
    <row r="212" spans="1:6" x14ac:dyDescent="0.25">
      <c r="A212" s="30">
        <f t="shared" si="22"/>
        <v>203</v>
      </c>
      <c r="B212" s="31">
        <f t="shared" si="23"/>
        <v>266176.93858384067</v>
      </c>
      <c r="C212" s="31">
        <f t="shared" si="18"/>
        <v>2491.556657775538</v>
      </c>
      <c r="D212" s="31">
        <f t="shared" si="19"/>
        <v>1080.8188832811825</v>
      </c>
      <c r="E212" s="31">
        <f t="shared" si="20"/>
        <v>1410.7377744943558</v>
      </c>
      <c r="F212" s="31">
        <f t="shared" si="21"/>
        <v>265096.11970055947</v>
      </c>
    </row>
    <row r="213" spans="1:6" x14ac:dyDescent="0.25">
      <c r="A213" s="30">
        <f t="shared" si="22"/>
        <v>204</v>
      </c>
      <c r="B213" s="31">
        <f t="shared" si="23"/>
        <v>265096.11970055947</v>
      </c>
      <c r="C213" s="31">
        <f t="shared" si="18"/>
        <v>2491.556657775538</v>
      </c>
      <c r="D213" s="31">
        <f t="shared" si="19"/>
        <v>1086.5472233625726</v>
      </c>
      <c r="E213" s="31">
        <f t="shared" si="20"/>
        <v>1405.009434412965</v>
      </c>
      <c r="F213" s="31">
        <f t="shared" si="21"/>
        <v>264009.57247719693</v>
      </c>
    </row>
    <row r="214" spans="1:6" x14ac:dyDescent="0.25">
      <c r="A214" s="30">
        <f t="shared" si="22"/>
        <v>205</v>
      </c>
      <c r="B214" s="31">
        <f t="shared" si="23"/>
        <v>264009.57247719693</v>
      </c>
      <c r="C214" s="31">
        <f t="shared" si="18"/>
        <v>2491.556657775538</v>
      </c>
      <c r="D214" s="31">
        <f t="shared" si="19"/>
        <v>1092.3059236463941</v>
      </c>
      <c r="E214" s="31">
        <f t="shared" si="20"/>
        <v>1399.2507341291434</v>
      </c>
      <c r="F214" s="31">
        <f t="shared" si="21"/>
        <v>262917.26655355055</v>
      </c>
    </row>
    <row r="215" spans="1:6" x14ac:dyDescent="0.25">
      <c r="A215" s="30">
        <f t="shared" si="22"/>
        <v>206</v>
      </c>
      <c r="B215" s="31">
        <f t="shared" si="23"/>
        <v>262917.26655355055</v>
      </c>
      <c r="C215" s="31">
        <f t="shared" si="18"/>
        <v>2491.556657775538</v>
      </c>
      <c r="D215" s="31">
        <f t="shared" si="19"/>
        <v>1098.0951450417201</v>
      </c>
      <c r="E215" s="31">
        <f t="shared" si="20"/>
        <v>1393.4615127338177</v>
      </c>
      <c r="F215" s="31">
        <f t="shared" si="21"/>
        <v>261819.17140850882</v>
      </c>
    </row>
    <row r="216" spans="1:6" x14ac:dyDescent="0.25">
      <c r="A216" s="30">
        <f t="shared" si="22"/>
        <v>207</v>
      </c>
      <c r="B216" s="31">
        <f t="shared" si="23"/>
        <v>261819.17140850882</v>
      </c>
      <c r="C216" s="31">
        <f t="shared" si="18"/>
        <v>2491.556657775538</v>
      </c>
      <c r="D216" s="31">
        <f t="shared" si="19"/>
        <v>1103.9150493104412</v>
      </c>
      <c r="E216" s="31">
        <f t="shared" si="20"/>
        <v>1387.6416084650964</v>
      </c>
      <c r="F216" s="31">
        <f t="shared" si="21"/>
        <v>260715.25635919836</v>
      </c>
    </row>
    <row r="217" spans="1:6" x14ac:dyDescent="0.25">
      <c r="A217" s="30">
        <f t="shared" si="22"/>
        <v>208</v>
      </c>
      <c r="B217" s="31">
        <f t="shared" si="23"/>
        <v>260715.25635919836</v>
      </c>
      <c r="C217" s="31">
        <f t="shared" si="18"/>
        <v>2491.556657775538</v>
      </c>
      <c r="D217" s="31">
        <f t="shared" si="19"/>
        <v>1109.7657990717867</v>
      </c>
      <c r="E217" s="31">
        <f t="shared" si="20"/>
        <v>1381.7908587037514</v>
      </c>
      <c r="F217" s="31">
        <f t="shared" si="21"/>
        <v>259605.49056012658</v>
      </c>
    </row>
    <row r="218" spans="1:6" x14ac:dyDescent="0.25">
      <c r="A218" s="30">
        <f t="shared" si="22"/>
        <v>209</v>
      </c>
      <c r="B218" s="31">
        <f t="shared" si="23"/>
        <v>259605.49056012658</v>
      </c>
      <c r="C218" s="31">
        <f t="shared" si="18"/>
        <v>2491.556657775538</v>
      </c>
      <c r="D218" s="31">
        <f t="shared" si="19"/>
        <v>1115.6475578068671</v>
      </c>
      <c r="E218" s="31">
        <f t="shared" si="20"/>
        <v>1375.9090999686707</v>
      </c>
      <c r="F218" s="31">
        <f t="shared" si="21"/>
        <v>258489.84300231971</v>
      </c>
    </row>
    <row r="219" spans="1:6" x14ac:dyDescent="0.25">
      <c r="A219" s="30">
        <f t="shared" si="22"/>
        <v>210</v>
      </c>
      <c r="B219" s="31">
        <f t="shared" si="23"/>
        <v>258489.84300231971</v>
      </c>
      <c r="C219" s="31">
        <f t="shared" si="18"/>
        <v>2491.556657775538</v>
      </c>
      <c r="D219" s="31">
        <f t="shared" si="19"/>
        <v>1121.5604898632434</v>
      </c>
      <c r="E219" s="31">
        <f t="shared" si="20"/>
        <v>1369.9961679122944</v>
      </c>
      <c r="F219" s="31">
        <f t="shared" si="21"/>
        <v>257368.28251245647</v>
      </c>
    </row>
    <row r="220" spans="1:6" x14ac:dyDescent="0.25">
      <c r="A220" s="30">
        <f t="shared" si="22"/>
        <v>211</v>
      </c>
      <c r="B220" s="31">
        <f t="shared" si="23"/>
        <v>257368.28251245647</v>
      </c>
      <c r="C220" s="31">
        <f t="shared" si="18"/>
        <v>2491.556657775538</v>
      </c>
      <c r="D220" s="31">
        <f t="shared" si="19"/>
        <v>1127.5047604595186</v>
      </c>
      <c r="E220" s="31">
        <f t="shared" si="20"/>
        <v>1364.0518973160192</v>
      </c>
      <c r="F220" s="31">
        <f t="shared" si="21"/>
        <v>256240.77775199694</v>
      </c>
    </row>
    <row r="221" spans="1:6" x14ac:dyDescent="0.25">
      <c r="A221" s="30">
        <f t="shared" si="22"/>
        <v>212</v>
      </c>
      <c r="B221" s="31">
        <f t="shared" si="23"/>
        <v>256240.77775199694</v>
      </c>
      <c r="C221" s="31">
        <f t="shared" si="18"/>
        <v>2491.556657775538</v>
      </c>
      <c r="D221" s="31">
        <f t="shared" si="19"/>
        <v>1133.4805356899542</v>
      </c>
      <c r="E221" s="31">
        <f t="shared" si="20"/>
        <v>1358.0761220855838</v>
      </c>
      <c r="F221" s="31">
        <f t="shared" si="21"/>
        <v>255107.29721630699</v>
      </c>
    </row>
    <row r="222" spans="1:6" x14ac:dyDescent="0.25">
      <c r="A222" s="30">
        <f t="shared" si="22"/>
        <v>213</v>
      </c>
      <c r="B222" s="31">
        <f t="shared" si="23"/>
        <v>255107.29721630699</v>
      </c>
      <c r="C222" s="31">
        <f t="shared" si="18"/>
        <v>2491.556657775538</v>
      </c>
      <c r="D222" s="31">
        <f t="shared" si="19"/>
        <v>1139.4879825291107</v>
      </c>
      <c r="E222" s="31">
        <f t="shared" si="20"/>
        <v>1352.0686752464271</v>
      </c>
      <c r="F222" s="31">
        <f t="shared" si="21"/>
        <v>253967.80923377789</v>
      </c>
    </row>
    <row r="223" spans="1:6" x14ac:dyDescent="0.25">
      <c r="A223" s="30">
        <f t="shared" si="22"/>
        <v>214</v>
      </c>
      <c r="B223" s="31">
        <f t="shared" si="23"/>
        <v>253967.80923377789</v>
      </c>
      <c r="C223" s="31">
        <f t="shared" si="18"/>
        <v>2491.556657775538</v>
      </c>
      <c r="D223" s="31">
        <f t="shared" si="19"/>
        <v>1145.5272688365153</v>
      </c>
      <c r="E223" s="31">
        <f t="shared" si="20"/>
        <v>1346.0293889390227</v>
      </c>
      <c r="F223" s="31">
        <f t="shared" si="21"/>
        <v>252822.28196494139</v>
      </c>
    </row>
    <row r="224" spans="1:6" x14ac:dyDescent="0.25">
      <c r="A224" s="30">
        <f t="shared" si="22"/>
        <v>215</v>
      </c>
      <c r="B224" s="31">
        <f t="shared" si="23"/>
        <v>252822.28196494139</v>
      </c>
      <c r="C224" s="31">
        <f t="shared" si="18"/>
        <v>2491.556657775538</v>
      </c>
      <c r="D224" s="31">
        <f t="shared" si="19"/>
        <v>1151.5985633613489</v>
      </c>
      <c r="E224" s="31">
        <f t="shared" si="20"/>
        <v>1339.958094414189</v>
      </c>
      <c r="F224" s="31">
        <f t="shared" si="21"/>
        <v>251670.68340158003</v>
      </c>
    </row>
    <row r="225" spans="1:6" x14ac:dyDescent="0.25">
      <c r="A225" s="30">
        <f t="shared" si="22"/>
        <v>216</v>
      </c>
      <c r="B225" s="31">
        <f t="shared" si="23"/>
        <v>251670.68340158003</v>
      </c>
      <c r="C225" s="31">
        <f t="shared" si="18"/>
        <v>2491.556657775538</v>
      </c>
      <c r="D225" s="31">
        <f t="shared" si="19"/>
        <v>1157.7020357471638</v>
      </c>
      <c r="E225" s="31">
        <f t="shared" si="20"/>
        <v>1333.854622028374</v>
      </c>
      <c r="F225" s="31">
        <f t="shared" si="21"/>
        <v>250512.98136583285</v>
      </c>
    </row>
    <row r="226" spans="1:6" x14ac:dyDescent="0.25">
      <c r="A226" s="30">
        <f t="shared" si="22"/>
        <v>217</v>
      </c>
      <c r="B226" s="31">
        <f t="shared" si="23"/>
        <v>250512.98136583285</v>
      </c>
      <c r="C226" s="31">
        <f t="shared" si="18"/>
        <v>2491.556657775538</v>
      </c>
      <c r="D226" s="31">
        <f t="shared" si="19"/>
        <v>1163.8378565366238</v>
      </c>
      <c r="E226" s="31">
        <f t="shared" si="20"/>
        <v>1327.718801238914</v>
      </c>
      <c r="F226" s="31">
        <f t="shared" si="21"/>
        <v>249349.14350929623</v>
      </c>
    </row>
    <row r="227" spans="1:6" x14ac:dyDescent="0.25">
      <c r="A227" s="30">
        <f t="shared" si="22"/>
        <v>218</v>
      </c>
      <c r="B227" s="31">
        <f t="shared" si="23"/>
        <v>249349.14350929623</v>
      </c>
      <c r="C227" s="31">
        <f t="shared" si="18"/>
        <v>2491.556657775538</v>
      </c>
      <c r="D227" s="31">
        <f t="shared" si="19"/>
        <v>1170.006197176268</v>
      </c>
      <c r="E227" s="31">
        <f t="shared" si="20"/>
        <v>1321.5504605992699</v>
      </c>
      <c r="F227" s="31">
        <f t="shared" si="21"/>
        <v>248179.13731211997</v>
      </c>
    </row>
    <row r="228" spans="1:6" x14ac:dyDescent="0.25">
      <c r="A228" s="30">
        <f t="shared" si="22"/>
        <v>219</v>
      </c>
      <c r="B228" s="31">
        <f t="shared" si="23"/>
        <v>248179.13731211997</v>
      </c>
      <c r="C228" s="31">
        <f t="shared" si="18"/>
        <v>2491.556657775538</v>
      </c>
      <c r="D228" s="31">
        <f t="shared" si="19"/>
        <v>1176.2072300213022</v>
      </c>
      <c r="E228" s="31">
        <f t="shared" si="20"/>
        <v>1315.3494277542356</v>
      </c>
      <c r="F228" s="31">
        <f t="shared" si="21"/>
        <v>247002.93008209867</v>
      </c>
    </row>
    <row r="229" spans="1:6" x14ac:dyDescent="0.25">
      <c r="A229" s="30">
        <f t="shared" si="22"/>
        <v>220</v>
      </c>
      <c r="B229" s="31">
        <f t="shared" si="23"/>
        <v>247002.93008209867</v>
      </c>
      <c r="C229" s="31">
        <f t="shared" si="18"/>
        <v>2491.556657775538</v>
      </c>
      <c r="D229" s="31">
        <f t="shared" si="19"/>
        <v>1182.4411283404149</v>
      </c>
      <c r="E229" s="31">
        <f t="shared" si="20"/>
        <v>1309.1155294351231</v>
      </c>
      <c r="F229" s="31">
        <f t="shared" si="21"/>
        <v>245820.48895375826</v>
      </c>
    </row>
    <row r="230" spans="1:6" x14ac:dyDescent="0.25">
      <c r="A230" s="30">
        <f t="shared" si="22"/>
        <v>221</v>
      </c>
      <c r="B230" s="31">
        <f t="shared" si="23"/>
        <v>245820.48895375826</v>
      </c>
      <c r="C230" s="31">
        <f t="shared" si="18"/>
        <v>2491.556657775538</v>
      </c>
      <c r="D230" s="31">
        <f t="shared" si="19"/>
        <v>1188.7080663206191</v>
      </c>
      <c r="E230" s="31">
        <f t="shared" si="20"/>
        <v>1302.8485914549187</v>
      </c>
      <c r="F230" s="31">
        <f t="shared" si="21"/>
        <v>244631.78088743764</v>
      </c>
    </row>
    <row r="231" spans="1:6" x14ac:dyDescent="0.25">
      <c r="A231" s="30">
        <f t="shared" si="22"/>
        <v>222</v>
      </c>
      <c r="B231" s="31">
        <f t="shared" si="23"/>
        <v>244631.78088743764</v>
      </c>
      <c r="C231" s="31">
        <f t="shared" si="18"/>
        <v>2491.556657775538</v>
      </c>
      <c r="D231" s="31">
        <f t="shared" si="19"/>
        <v>1195.0082190721184</v>
      </c>
      <c r="E231" s="31">
        <f t="shared" si="20"/>
        <v>1296.5484387034194</v>
      </c>
      <c r="F231" s="31">
        <f t="shared" si="21"/>
        <v>243436.77266836551</v>
      </c>
    </row>
    <row r="232" spans="1:6" x14ac:dyDescent="0.25">
      <c r="A232" s="30">
        <f t="shared" si="22"/>
        <v>223</v>
      </c>
      <c r="B232" s="31">
        <f t="shared" si="23"/>
        <v>243436.77266836551</v>
      </c>
      <c r="C232" s="31">
        <f t="shared" si="18"/>
        <v>2491.556657775538</v>
      </c>
      <c r="D232" s="31">
        <f t="shared" si="19"/>
        <v>1201.3417626332007</v>
      </c>
      <c r="E232" s="31">
        <f t="shared" si="20"/>
        <v>1290.2148951423371</v>
      </c>
      <c r="F232" s="31">
        <f t="shared" si="21"/>
        <v>242235.4309057323</v>
      </c>
    </row>
    <row r="233" spans="1:6" x14ac:dyDescent="0.25">
      <c r="A233" s="30">
        <f t="shared" si="22"/>
        <v>224</v>
      </c>
      <c r="B233" s="31">
        <f t="shared" si="23"/>
        <v>242235.4309057323</v>
      </c>
      <c r="C233" s="31">
        <f t="shared" si="18"/>
        <v>2491.556657775538</v>
      </c>
      <c r="D233" s="31">
        <f t="shared" si="19"/>
        <v>1207.7088739751566</v>
      </c>
      <c r="E233" s="31">
        <f t="shared" si="20"/>
        <v>1283.8477838003812</v>
      </c>
      <c r="F233" s="31">
        <f t="shared" si="21"/>
        <v>241027.72203175715</v>
      </c>
    </row>
    <row r="234" spans="1:6" x14ac:dyDescent="0.25">
      <c r="A234" s="30">
        <f t="shared" si="22"/>
        <v>225</v>
      </c>
      <c r="B234" s="31">
        <f t="shared" si="23"/>
        <v>241027.72203175715</v>
      </c>
      <c r="C234" s="31">
        <f t="shared" si="18"/>
        <v>2491.556657775538</v>
      </c>
      <c r="D234" s="31">
        <f t="shared" si="19"/>
        <v>1214.109731007225</v>
      </c>
      <c r="E234" s="31">
        <f t="shared" si="20"/>
        <v>1277.4469267683128</v>
      </c>
      <c r="F234" s="31">
        <f t="shared" si="21"/>
        <v>239813.61230074993</v>
      </c>
    </row>
    <row r="235" spans="1:6" x14ac:dyDescent="0.25">
      <c r="A235" s="30">
        <f t="shared" si="22"/>
        <v>226</v>
      </c>
      <c r="B235" s="31">
        <f t="shared" si="23"/>
        <v>239813.61230074993</v>
      </c>
      <c r="C235" s="31">
        <f t="shared" si="18"/>
        <v>2491.556657775538</v>
      </c>
      <c r="D235" s="31">
        <f t="shared" si="19"/>
        <v>1220.5445125815631</v>
      </c>
      <c r="E235" s="31">
        <f t="shared" si="20"/>
        <v>1271.0121451939744</v>
      </c>
      <c r="F235" s="31">
        <f t="shared" si="21"/>
        <v>238593.06778816835</v>
      </c>
    </row>
    <row r="236" spans="1:6" x14ac:dyDescent="0.25">
      <c r="A236" s="30">
        <f t="shared" si="22"/>
        <v>227</v>
      </c>
      <c r="B236" s="31">
        <f t="shared" si="23"/>
        <v>238593.06778816835</v>
      </c>
      <c r="C236" s="31">
        <f t="shared" si="18"/>
        <v>2491.556657775538</v>
      </c>
      <c r="D236" s="31">
        <f t="shared" si="19"/>
        <v>1227.0133984982456</v>
      </c>
      <c r="E236" s="31">
        <f t="shared" si="20"/>
        <v>1264.5432592772922</v>
      </c>
      <c r="F236" s="31">
        <f t="shared" si="21"/>
        <v>237366.05438967011</v>
      </c>
    </row>
    <row r="237" spans="1:6" x14ac:dyDescent="0.25">
      <c r="A237" s="30">
        <f t="shared" si="22"/>
        <v>228</v>
      </c>
      <c r="B237" s="31">
        <f t="shared" si="23"/>
        <v>237366.05438967011</v>
      </c>
      <c r="C237" s="31">
        <f t="shared" si="18"/>
        <v>2491.556657775538</v>
      </c>
      <c r="D237" s="31">
        <f t="shared" si="19"/>
        <v>1233.5165695102862</v>
      </c>
      <c r="E237" s="31">
        <f t="shared" si="20"/>
        <v>1258.0400882652516</v>
      </c>
      <c r="F237" s="31">
        <f t="shared" si="21"/>
        <v>236132.53782015984</v>
      </c>
    </row>
    <row r="238" spans="1:6" x14ac:dyDescent="0.25">
      <c r="A238" s="30">
        <f t="shared" si="22"/>
        <v>229</v>
      </c>
      <c r="B238" s="31">
        <f t="shared" si="23"/>
        <v>236132.53782015984</v>
      </c>
      <c r="C238" s="31">
        <f t="shared" si="18"/>
        <v>2491.556657775538</v>
      </c>
      <c r="D238" s="31">
        <f t="shared" si="19"/>
        <v>1240.0542073286908</v>
      </c>
      <c r="E238" s="31">
        <f t="shared" si="20"/>
        <v>1251.5024504468472</v>
      </c>
      <c r="F238" s="31">
        <f t="shared" si="21"/>
        <v>234892.48361283116</v>
      </c>
    </row>
    <row r="239" spans="1:6" x14ac:dyDescent="0.25">
      <c r="A239" s="30">
        <f t="shared" si="22"/>
        <v>230</v>
      </c>
      <c r="B239" s="31">
        <f t="shared" si="23"/>
        <v>234892.48361283116</v>
      </c>
      <c r="C239" s="31">
        <f t="shared" si="18"/>
        <v>2491.556657775538</v>
      </c>
      <c r="D239" s="31">
        <f t="shared" si="19"/>
        <v>1246.6264946275326</v>
      </c>
      <c r="E239" s="31">
        <f t="shared" si="20"/>
        <v>1244.930163148005</v>
      </c>
      <c r="F239" s="31">
        <f t="shared" si="21"/>
        <v>233645.85711820362</v>
      </c>
    </row>
    <row r="240" spans="1:6" x14ac:dyDescent="0.25">
      <c r="A240" s="30">
        <f t="shared" si="22"/>
        <v>231</v>
      </c>
      <c r="B240" s="31">
        <f t="shared" si="23"/>
        <v>233645.85711820362</v>
      </c>
      <c r="C240" s="31">
        <f t="shared" si="18"/>
        <v>2491.556657775538</v>
      </c>
      <c r="D240" s="31">
        <f t="shared" si="19"/>
        <v>1253.2336150490587</v>
      </c>
      <c r="E240" s="31">
        <f t="shared" si="20"/>
        <v>1238.3230427264791</v>
      </c>
      <c r="F240" s="31">
        <f t="shared" si="21"/>
        <v>232392.62350315458</v>
      </c>
    </row>
    <row r="241" spans="1:6" x14ac:dyDescent="0.25">
      <c r="A241" s="30">
        <f t="shared" si="22"/>
        <v>232</v>
      </c>
      <c r="B241" s="31">
        <f t="shared" si="23"/>
        <v>232392.62350315458</v>
      </c>
      <c r="C241" s="31">
        <f t="shared" si="18"/>
        <v>2491.556657775538</v>
      </c>
      <c r="D241" s="31">
        <f t="shared" si="19"/>
        <v>1259.8757532088189</v>
      </c>
      <c r="E241" s="31">
        <f t="shared" si="20"/>
        <v>1231.6809045667189</v>
      </c>
      <c r="F241" s="31">
        <f t="shared" si="21"/>
        <v>231132.74774994576</v>
      </c>
    </row>
    <row r="242" spans="1:6" x14ac:dyDescent="0.25">
      <c r="A242" s="30">
        <f t="shared" si="22"/>
        <v>233</v>
      </c>
      <c r="B242" s="31">
        <f t="shared" si="23"/>
        <v>231132.74774994576</v>
      </c>
      <c r="C242" s="31">
        <f t="shared" si="18"/>
        <v>2491.556657775538</v>
      </c>
      <c r="D242" s="31">
        <f t="shared" si="19"/>
        <v>1266.5530947008256</v>
      </c>
      <c r="E242" s="31">
        <f t="shared" si="20"/>
        <v>1225.0035630747125</v>
      </c>
      <c r="F242" s="31">
        <f t="shared" si="21"/>
        <v>229866.19465524494</v>
      </c>
    </row>
    <row r="243" spans="1:6" x14ac:dyDescent="0.25">
      <c r="A243" s="30">
        <f t="shared" si="22"/>
        <v>234</v>
      </c>
      <c r="B243" s="31">
        <f t="shared" si="23"/>
        <v>229866.19465524494</v>
      </c>
      <c r="C243" s="31">
        <f t="shared" si="18"/>
        <v>2491.556657775538</v>
      </c>
      <c r="D243" s="31">
        <f t="shared" si="19"/>
        <v>1273.2658261027398</v>
      </c>
      <c r="E243" s="31">
        <f t="shared" si="20"/>
        <v>1218.2908316727978</v>
      </c>
      <c r="F243" s="31">
        <f t="shared" si="21"/>
        <v>228592.92882914218</v>
      </c>
    </row>
    <row r="244" spans="1:6" x14ac:dyDescent="0.25">
      <c r="A244" s="30">
        <f t="shared" si="22"/>
        <v>235</v>
      </c>
      <c r="B244" s="31">
        <f t="shared" si="23"/>
        <v>228592.92882914218</v>
      </c>
      <c r="C244" s="31">
        <f t="shared" si="18"/>
        <v>2491.556657775538</v>
      </c>
      <c r="D244" s="31">
        <f t="shared" si="19"/>
        <v>1280.0141349810845</v>
      </c>
      <c r="E244" s="31">
        <f t="shared" si="20"/>
        <v>1211.5425227944531</v>
      </c>
      <c r="F244" s="31">
        <f t="shared" si="21"/>
        <v>227312.9146941611</v>
      </c>
    </row>
    <row r="245" spans="1:6" x14ac:dyDescent="0.25">
      <c r="A245" s="30">
        <f t="shared" si="22"/>
        <v>236</v>
      </c>
      <c r="B245" s="31">
        <f t="shared" si="23"/>
        <v>227312.9146941611</v>
      </c>
      <c r="C245" s="31">
        <f t="shared" si="18"/>
        <v>2491.556657775538</v>
      </c>
      <c r="D245" s="31">
        <f t="shared" si="19"/>
        <v>1286.7982098964844</v>
      </c>
      <c r="E245" s="31">
        <f t="shared" si="20"/>
        <v>1204.7584478790536</v>
      </c>
      <c r="F245" s="31">
        <f t="shared" si="21"/>
        <v>226026.11648426461</v>
      </c>
    </row>
    <row r="246" spans="1:6" x14ac:dyDescent="0.25">
      <c r="A246" s="30">
        <f t="shared" si="22"/>
        <v>237</v>
      </c>
      <c r="B246" s="31">
        <f t="shared" si="23"/>
        <v>226026.11648426461</v>
      </c>
      <c r="C246" s="31">
        <f t="shared" si="18"/>
        <v>2491.556657775538</v>
      </c>
      <c r="D246" s="31">
        <f t="shared" si="19"/>
        <v>1293.6182404089354</v>
      </c>
      <c r="E246" s="31">
        <f t="shared" si="20"/>
        <v>1197.9384173666024</v>
      </c>
      <c r="F246" s="31">
        <f t="shared" si="21"/>
        <v>224732.49824385566</v>
      </c>
    </row>
    <row r="247" spans="1:6" x14ac:dyDescent="0.25">
      <c r="A247" s="30">
        <f t="shared" si="22"/>
        <v>238</v>
      </c>
      <c r="B247" s="31">
        <f t="shared" si="23"/>
        <v>224732.49824385566</v>
      </c>
      <c r="C247" s="31">
        <f t="shared" si="18"/>
        <v>2491.556657775538</v>
      </c>
      <c r="D247" s="31">
        <f t="shared" si="19"/>
        <v>1300.4744170831027</v>
      </c>
      <c r="E247" s="31">
        <f t="shared" si="20"/>
        <v>1191.0822406924351</v>
      </c>
      <c r="F247" s="31">
        <f t="shared" si="21"/>
        <v>223432.02382677255</v>
      </c>
    </row>
    <row r="248" spans="1:6" x14ac:dyDescent="0.25">
      <c r="A248" s="30">
        <f t="shared" si="22"/>
        <v>239</v>
      </c>
      <c r="B248" s="31">
        <f t="shared" si="23"/>
        <v>223432.02382677255</v>
      </c>
      <c r="C248" s="31">
        <f t="shared" si="18"/>
        <v>2491.556657775538</v>
      </c>
      <c r="D248" s="31">
        <f t="shared" si="19"/>
        <v>1307.3669314936435</v>
      </c>
      <c r="E248" s="31">
        <f t="shared" si="20"/>
        <v>1184.1897262818945</v>
      </c>
      <c r="F248" s="31">
        <f t="shared" si="21"/>
        <v>222124.65689527889</v>
      </c>
    </row>
    <row r="249" spans="1:6" x14ac:dyDescent="0.25">
      <c r="A249" s="30">
        <f t="shared" si="22"/>
        <v>240</v>
      </c>
      <c r="B249" s="31">
        <f t="shared" si="23"/>
        <v>222124.65689527889</v>
      </c>
      <c r="C249" s="31">
        <f t="shared" si="18"/>
        <v>2491.556657775538</v>
      </c>
      <c r="D249" s="31">
        <f t="shared" si="19"/>
        <v>1314.2959762305597</v>
      </c>
      <c r="E249" s="31">
        <f t="shared" si="20"/>
        <v>1177.2606815449781</v>
      </c>
      <c r="F249" s="31">
        <f t="shared" si="21"/>
        <v>220810.36091904834</v>
      </c>
    </row>
    <row r="250" spans="1:6" x14ac:dyDescent="0.25">
      <c r="A250" s="30">
        <f t="shared" si="22"/>
        <v>241</v>
      </c>
      <c r="B250" s="31">
        <f t="shared" si="23"/>
        <v>220810.36091904834</v>
      </c>
      <c r="C250" s="31">
        <f t="shared" si="18"/>
        <v>2491.556657775538</v>
      </c>
      <c r="D250" s="31">
        <f t="shared" si="19"/>
        <v>1321.2617449045815</v>
      </c>
      <c r="E250" s="31">
        <f t="shared" si="20"/>
        <v>1170.2949128709561</v>
      </c>
      <c r="F250" s="31">
        <f t="shared" si="21"/>
        <v>219489.09917414375</v>
      </c>
    </row>
    <row r="251" spans="1:6" x14ac:dyDescent="0.25">
      <c r="A251" s="30">
        <f t="shared" si="22"/>
        <v>242</v>
      </c>
      <c r="B251" s="31">
        <f t="shared" si="23"/>
        <v>219489.09917414375</v>
      </c>
      <c r="C251" s="31">
        <f t="shared" si="18"/>
        <v>2491.556657775538</v>
      </c>
      <c r="D251" s="31">
        <f t="shared" si="19"/>
        <v>1328.2644321525761</v>
      </c>
      <c r="E251" s="31">
        <f t="shared" si="20"/>
        <v>1163.292225622962</v>
      </c>
      <c r="F251" s="31">
        <f t="shared" si="21"/>
        <v>218160.83474199116</v>
      </c>
    </row>
    <row r="252" spans="1:6" x14ac:dyDescent="0.25">
      <c r="A252" s="30">
        <f t="shared" si="22"/>
        <v>243</v>
      </c>
      <c r="B252" s="31">
        <f t="shared" si="23"/>
        <v>218160.83474199116</v>
      </c>
      <c r="C252" s="31">
        <f t="shared" si="18"/>
        <v>2491.556657775538</v>
      </c>
      <c r="D252" s="31">
        <f t="shared" si="19"/>
        <v>1335.3042336429846</v>
      </c>
      <c r="E252" s="31">
        <f t="shared" si="20"/>
        <v>1156.2524241325532</v>
      </c>
      <c r="F252" s="31">
        <f t="shared" si="21"/>
        <v>216825.53050834817</v>
      </c>
    </row>
    <row r="253" spans="1:6" x14ac:dyDescent="0.25">
      <c r="A253" s="30">
        <f t="shared" si="22"/>
        <v>244</v>
      </c>
      <c r="B253" s="31">
        <f t="shared" si="23"/>
        <v>216825.53050834817</v>
      </c>
      <c r="C253" s="31">
        <f t="shared" si="18"/>
        <v>2491.556657775538</v>
      </c>
      <c r="D253" s="31">
        <f t="shared" si="19"/>
        <v>1342.3813460812921</v>
      </c>
      <c r="E253" s="31">
        <f t="shared" si="20"/>
        <v>1149.1753116942457</v>
      </c>
      <c r="F253" s="31">
        <f t="shared" si="21"/>
        <v>215483.14916226687</v>
      </c>
    </row>
    <row r="254" spans="1:6" x14ac:dyDescent="0.25">
      <c r="A254" s="30">
        <f t="shared" si="22"/>
        <v>245</v>
      </c>
      <c r="B254" s="31">
        <f t="shared" si="23"/>
        <v>215483.14916226687</v>
      </c>
      <c r="C254" s="31">
        <f t="shared" si="18"/>
        <v>2491.556657775538</v>
      </c>
      <c r="D254" s="31">
        <f t="shared" si="19"/>
        <v>1349.4959672155233</v>
      </c>
      <c r="E254" s="31">
        <f t="shared" si="20"/>
        <v>1142.0606905600148</v>
      </c>
      <c r="F254" s="31">
        <f t="shared" si="21"/>
        <v>214133.65319505136</v>
      </c>
    </row>
    <row r="255" spans="1:6" x14ac:dyDescent="0.25">
      <c r="A255" s="30">
        <f t="shared" si="22"/>
        <v>246</v>
      </c>
      <c r="B255" s="31">
        <f t="shared" si="23"/>
        <v>214133.65319505136</v>
      </c>
      <c r="C255" s="31">
        <f t="shared" si="18"/>
        <v>2491.556657775538</v>
      </c>
      <c r="D255" s="31">
        <f t="shared" si="19"/>
        <v>1356.6482958417655</v>
      </c>
      <c r="E255" s="31">
        <f t="shared" si="20"/>
        <v>1134.9083619337723</v>
      </c>
      <c r="F255" s="31">
        <f t="shared" si="21"/>
        <v>212777.0048992096</v>
      </c>
    </row>
    <row r="256" spans="1:6" x14ac:dyDescent="0.25">
      <c r="A256" s="30">
        <f t="shared" si="22"/>
        <v>247</v>
      </c>
      <c r="B256" s="31">
        <f t="shared" si="23"/>
        <v>212777.0048992096</v>
      </c>
      <c r="C256" s="31">
        <f t="shared" si="18"/>
        <v>2491.556657775538</v>
      </c>
      <c r="D256" s="31">
        <f t="shared" si="19"/>
        <v>1363.8385318097269</v>
      </c>
      <c r="E256" s="31">
        <f t="shared" si="20"/>
        <v>1127.7181259658109</v>
      </c>
      <c r="F256" s="31">
        <f t="shared" si="21"/>
        <v>211413.16636739988</v>
      </c>
    </row>
    <row r="257" spans="1:6" x14ac:dyDescent="0.25">
      <c r="A257" s="30">
        <f t="shared" si="22"/>
        <v>248</v>
      </c>
      <c r="B257" s="31">
        <f t="shared" si="23"/>
        <v>211413.16636739988</v>
      </c>
      <c r="C257" s="31">
        <f t="shared" si="18"/>
        <v>2491.556657775538</v>
      </c>
      <c r="D257" s="31">
        <f t="shared" si="19"/>
        <v>1371.0668760283183</v>
      </c>
      <c r="E257" s="31">
        <f t="shared" si="20"/>
        <v>1120.4897817472195</v>
      </c>
      <c r="F257" s="31">
        <f t="shared" si="21"/>
        <v>210042.09949137157</v>
      </c>
    </row>
    <row r="258" spans="1:6" x14ac:dyDescent="0.25">
      <c r="A258" s="30">
        <f t="shared" si="22"/>
        <v>249</v>
      </c>
      <c r="B258" s="31">
        <f t="shared" si="23"/>
        <v>210042.09949137157</v>
      </c>
      <c r="C258" s="31">
        <f t="shared" si="18"/>
        <v>2491.556657775538</v>
      </c>
      <c r="D258" s="31">
        <f t="shared" si="19"/>
        <v>1378.3335304712684</v>
      </c>
      <c r="E258" s="31">
        <f t="shared" si="20"/>
        <v>1113.2231273042694</v>
      </c>
      <c r="F258" s="31">
        <f t="shared" si="21"/>
        <v>208663.76596090029</v>
      </c>
    </row>
    <row r="259" spans="1:6" x14ac:dyDescent="0.25">
      <c r="A259" s="30">
        <f t="shared" si="22"/>
        <v>250</v>
      </c>
      <c r="B259" s="31">
        <f t="shared" si="23"/>
        <v>208663.76596090029</v>
      </c>
      <c r="C259" s="31">
        <f t="shared" si="18"/>
        <v>2491.556657775538</v>
      </c>
      <c r="D259" s="31">
        <f t="shared" si="19"/>
        <v>1385.6386981827663</v>
      </c>
      <c r="E259" s="31">
        <f t="shared" si="20"/>
        <v>1105.9179595927719</v>
      </c>
      <c r="F259" s="31">
        <f t="shared" si="21"/>
        <v>207278.12726271752</v>
      </c>
    </row>
    <row r="260" spans="1:6" x14ac:dyDescent="0.25">
      <c r="A260" s="30">
        <f t="shared" si="22"/>
        <v>251</v>
      </c>
      <c r="B260" s="31">
        <f t="shared" si="23"/>
        <v>207278.12726271752</v>
      </c>
      <c r="C260" s="31">
        <f t="shared" si="18"/>
        <v>2491.556657775538</v>
      </c>
      <c r="D260" s="31">
        <f t="shared" si="19"/>
        <v>1392.982583283135</v>
      </c>
      <c r="E260" s="31">
        <f t="shared" si="20"/>
        <v>1098.574074492403</v>
      </c>
      <c r="F260" s="31">
        <f t="shared" si="21"/>
        <v>205885.14467943439</v>
      </c>
    </row>
    <row r="261" spans="1:6" x14ac:dyDescent="0.25">
      <c r="A261" s="30">
        <f t="shared" si="22"/>
        <v>252</v>
      </c>
      <c r="B261" s="31">
        <f t="shared" si="23"/>
        <v>205885.14467943439</v>
      </c>
      <c r="C261" s="31">
        <f t="shared" si="18"/>
        <v>2491.556657775538</v>
      </c>
      <c r="D261" s="31">
        <f t="shared" si="19"/>
        <v>1400.3653909745353</v>
      </c>
      <c r="E261" s="31">
        <f t="shared" si="20"/>
        <v>1091.1912668010023</v>
      </c>
      <c r="F261" s="31">
        <f t="shared" si="21"/>
        <v>204484.77928845986</v>
      </c>
    </row>
    <row r="262" spans="1:6" x14ac:dyDescent="0.25">
      <c r="A262" s="30">
        <f t="shared" si="22"/>
        <v>253</v>
      </c>
      <c r="B262" s="31">
        <f t="shared" si="23"/>
        <v>204484.77928845986</v>
      </c>
      <c r="C262" s="31">
        <f t="shared" si="18"/>
        <v>2491.556657775538</v>
      </c>
      <c r="D262" s="31">
        <f t="shared" si="19"/>
        <v>1407.7873275467005</v>
      </c>
      <c r="E262" s="31">
        <f t="shared" si="20"/>
        <v>1083.7693302288374</v>
      </c>
      <c r="F262" s="31">
        <f t="shared" si="21"/>
        <v>203076.99196091315</v>
      </c>
    </row>
    <row r="263" spans="1:6" x14ac:dyDescent="0.25">
      <c r="A263" s="30">
        <f t="shared" si="22"/>
        <v>254</v>
      </c>
      <c r="B263" s="31">
        <f t="shared" si="23"/>
        <v>203076.99196091315</v>
      </c>
      <c r="C263" s="31">
        <f t="shared" si="18"/>
        <v>2491.556657775538</v>
      </c>
      <c r="D263" s="31">
        <f t="shared" si="19"/>
        <v>1415.248600382698</v>
      </c>
      <c r="E263" s="31">
        <f t="shared" si="20"/>
        <v>1076.3080573928396</v>
      </c>
      <c r="F263" s="31">
        <f t="shared" si="21"/>
        <v>201661.74336053044</v>
      </c>
    </row>
    <row r="264" spans="1:6" x14ac:dyDescent="0.25">
      <c r="A264" s="30">
        <f t="shared" si="22"/>
        <v>255</v>
      </c>
      <c r="B264" s="31">
        <f t="shared" si="23"/>
        <v>201661.74336053044</v>
      </c>
      <c r="C264" s="31">
        <f t="shared" si="18"/>
        <v>2491.556657775538</v>
      </c>
      <c r="D264" s="31">
        <f t="shared" si="19"/>
        <v>1422.749417964726</v>
      </c>
      <c r="E264" s="31">
        <f t="shared" si="20"/>
        <v>1068.8072398108113</v>
      </c>
      <c r="F264" s="31">
        <f t="shared" si="21"/>
        <v>200238.99394256572</v>
      </c>
    </row>
    <row r="265" spans="1:6" x14ac:dyDescent="0.25">
      <c r="A265" s="30">
        <f t="shared" si="22"/>
        <v>256</v>
      </c>
      <c r="B265" s="31">
        <f t="shared" si="23"/>
        <v>200238.99394256572</v>
      </c>
      <c r="C265" s="31">
        <f t="shared" si="18"/>
        <v>2491.556657775538</v>
      </c>
      <c r="D265" s="31">
        <f t="shared" si="19"/>
        <v>1430.2899898799396</v>
      </c>
      <c r="E265" s="31">
        <f t="shared" si="20"/>
        <v>1061.2666678955984</v>
      </c>
      <c r="F265" s="31">
        <f t="shared" si="21"/>
        <v>198808.70395268578</v>
      </c>
    </row>
    <row r="266" spans="1:6" x14ac:dyDescent="0.25">
      <c r="A266" s="30">
        <f t="shared" si="22"/>
        <v>257</v>
      </c>
      <c r="B266" s="31">
        <f t="shared" si="23"/>
        <v>198808.70395268578</v>
      </c>
      <c r="C266" s="31">
        <f t="shared" ref="C266:C329" si="24">IFERROR(PMT(Assump_BaseRate/12,Assump_TermMos,-Assump_LoanAmt),0)</f>
        <v>2491.556657775538</v>
      </c>
      <c r="D266" s="31">
        <f t="shared" ref="D266:D329" si="25">IFERROR(PPMT(Assump_BaseRate/12,A266,Assump_TermMos,-Assump_LoanAmt),0)</f>
        <v>1437.8705268263029</v>
      </c>
      <c r="E266" s="31">
        <f t="shared" ref="E266:E329" si="26">IFERROR(IPMT(Assump_BaseRate/12,A266,Assump_TermMos,-Assump_LoanAmt),0)</f>
        <v>1053.6861309492347</v>
      </c>
      <c r="F266" s="31">
        <f t="shared" ref="F266:F329" si="27">IFERROR(B266-D266,0)</f>
        <v>197370.83342585948</v>
      </c>
    </row>
    <row r="267" spans="1:6" x14ac:dyDescent="0.25">
      <c r="A267" s="30">
        <f t="shared" ref="A267:A330" si="28">A266+1</f>
        <v>258</v>
      </c>
      <c r="B267" s="31">
        <f t="shared" ref="B267:B330" si="29">F266</f>
        <v>197370.83342585948</v>
      </c>
      <c r="C267" s="31">
        <f t="shared" si="24"/>
        <v>2491.556657775538</v>
      </c>
      <c r="D267" s="31">
        <f t="shared" si="25"/>
        <v>1445.4912406184824</v>
      </c>
      <c r="E267" s="31">
        <f t="shared" si="26"/>
        <v>1046.0654171570554</v>
      </c>
      <c r="F267" s="31">
        <f t="shared" si="27"/>
        <v>195925.342185241</v>
      </c>
    </row>
    <row r="268" spans="1:6" x14ac:dyDescent="0.25">
      <c r="A268" s="30">
        <f t="shared" si="28"/>
        <v>259</v>
      </c>
      <c r="B268" s="31">
        <f t="shared" si="29"/>
        <v>195925.342185241</v>
      </c>
      <c r="C268" s="31">
        <f t="shared" si="24"/>
        <v>2491.556657775538</v>
      </c>
      <c r="D268" s="31">
        <f t="shared" si="25"/>
        <v>1453.1523441937604</v>
      </c>
      <c r="E268" s="31">
        <f t="shared" si="26"/>
        <v>1038.4043135817774</v>
      </c>
      <c r="F268" s="31">
        <f t="shared" si="27"/>
        <v>194472.18984104725</v>
      </c>
    </row>
    <row r="269" spans="1:6" x14ac:dyDescent="0.25">
      <c r="A269" s="30">
        <f t="shared" si="28"/>
        <v>260</v>
      </c>
      <c r="B269" s="31">
        <f t="shared" si="29"/>
        <v>194472.18984104725</v>
      </c>
      <c r="C269" s="31">
        <f t="shared" si="24"/>
        <v>2491.556657775538</v>
      </c>
      <c r="D269" s="31">
        <f t="shared" si="25"/>
        <v>1460.8540516179874</v>
      </c>
      <c r="E269" s="31">
        <f t="shared" si="26"/>
        <v>1030.7026061575505</v>
      </c>
      <c r="F269" s="31">
        <f t="shared" si="27"/>
        <v>193011.33578942926</v>
      </c>
    </row>
    <row r="270" spans="1:6" x14ac:dyDescent="0.25">
      <c r="A270" s="30">
        <f t="shared" si="28"/>
        <v>261</v>
      </c>
      <c r="B270" s="31">
        <f t="shared" si="29"/>
        <v>193011.33578942926</v>
      </c>
      <c r="C270" s="31">
        <f t="shared" si="24"/>
        <v>2491.556657775538</v>
      </c>
      <c r="D270" s="31">
        <f t="shared" si="25"/>
        <v>1468.5965780915624</v>
      </c>
      <c r="E270" s="31">
        <f t="shared" si="26"/>
        <v>1022.9600796839751</v>
      </c>
      <c r="F270" s="31">
        <f t="shared" si="27"/>
        <v>191542.7392113377</v>
      </c>
    </row>
    <row r="271" spans="1:6" x14ac:dyDescent="0.25">
      <c r="A271" s="30">
        <f t="shared" si="28"/>
        <v>262</v>
      </c>
      <c r="B271" s="31">
        <f t="shared" si="29"/>
        <v>191542.7392113377</v>
      </c>
      <c r="C271" s="31">
        <f t="shared" si="24"/>
        <v>2491.556657775538</v>
      </c>
      <c r="D271" s="31">
        <f t="shared" si="25"/>
        <v>1476.3801399554479</v>
      </c>
      <c r="E271" s="31">
        <f t="shared" si="26"/>
        <v>1015.17651782009</v>
      </c>
      <c r="F271" s="31">
        <f t="shared" si="27"/>
        <v>190066.35907138226</v>
      </c>
    </row>
    <row r="272" spans="1:6" x14ac:dyDescent="0.25">
      <c r="A272" s="30">
        <f t="shared" si="28"/>
        <v>263</v>
      </c>
      <c r="B272" s="31">
        <f t="shared" si="29"/>
        <v>190066.35907138226</v>
      </c>
      <c r="C272" s="31">
        <f t="shared" si="24"/>
        <v>2491.556657775538</v>
      </c>
      <c r="D272" s="31">
        <f t="shared" si="25"/>
        <v>1484.2049546972119</v>
      </c>
      <c r="E272" s="31">
        <f t="shared" si="26"/>
        <v>1007.3517030783258</v>
      </c>
      <c r="F272" s="31">
        <f t="shared" si="27"/>
        <v>188582.15411668507</v>
      </c>
    </row>
    <row r="273" spans="1:6" x14ac:dyDescent="0.25">
      <c r="A273" s="30">
        <f t="shared" si="28"/>
        <v>264</v>
      </c>
      <c r="B273" s="31">
        <f t="shared" si="29"/>
        <v>188582.15411668507</v>
      </c>
      <c r="C273" s="31">
        <f t="shared" si="24"/>
        <v>2491.556657775538</v>
      </c>
      <c r="D273" s="31">
        <f t="shared" si="25"/>
        <v>1492.0712409571072</v>
      </c>
      <c r="E273" s="31">
        <f t="shared" si="26"/>
        <v>999.48541681843085</v>
      </c>
      <c r="F273" s="31">
        <f t="shared" si="27"/>
        <v>187090.08287572797</v>
      </c>
    </row>
    <row r="274" spans="1:6" x14ac:dyDescent="0.25">
      <c r="A274" s="30">
        <f t="shared" si="28"/>
        <v>265</v>
      </c>
      <c r="B274" s="31">
        <f t="shared" si="29"/>
        <v>187090.08287572797</v>
      </c>
      <c r="C274" s="31">
        <f t="shared" si="24"/>
        <v>2491.556657775538</v>
      </c>
      <c r="D274" s="31">
        <f t="shared" si="25"/>
        <v>1499.9792185341796</v>
      </c>
      <c r="E274" s="31">
        <f t="shared" si="26"/>
        <v>991.57743924135787</v>
      </c>
      <c r="F274" s="31">
        <f t="shared" si="27"/>
        <v>185590.10365719377</v>
      </c>
    </row>
    <row r="275" spans="1:6" x14ac:dyDescent="0.25">
      <c r="A275" s="30">
        <f t="shared" si="28"/>
        <v>266</v>
      </c>
      <c r="B275" s="31">
        <f t="shared" si="29"/>
        <v>185590.10365719377</v>
      </c>
      <c r="C275" s="31">
        <f t="shared" si="24"/>
        <v>2491.556657775538</v>
      </c>
      <c r="D275" s="31">
        <f t="shared" si="25"/>
        <v>1507.9291083924111</v>
      </c>
      <c r="E275" s="31">
        <f t="shared" si="26"/>
        <v>983.62754938312685</v>
      </c>
      <c r="F275" s="31">
        <f t="shared" si="27"/>
        <v>184082.17454880135</v>
      </c>
    </row>
    <row r="276" spans="1:6" x14ac:dyDescent="0.25">
      <c r="A276" s="30">
        <f t="shared" si="28"/>
        <v>267</v>
      </c>
      <c r="B276" s="31">
        <f t="shared" si="29"/>
        <v>184082.17454880135</v>
      </c>
      <c r="C276" s="31">
        <f t="shared" si="24"/>
        <v>2491.556657775538</v>
      </c>
      <c r="D276" s="31">
        <f t="shared" si="25"/>
        <v>1515.9211326668908</v>
      </c>
      <c r="E276" s="31">
        <f t="shared" si="26"/>
        <v>975.63552510864713</v>
      </c>
      <c r="F276" s="31">
        <f t="shared" si="27"/>
        <v>182566.25341613445</v>
      </c>
    </row>
    <row r="277" spans="1:6" x14ac:dyDescent="0.25">
      <c r="A277" s="30">
        <f t="shared" si="28"/>
        <v>268</v>
      </c>
      <c r="B277" s="31">
        <f t="shared" si="29"/>
        <v>182566.25341613445</v>
      </c>
      <c r="C277" s="31">
        <f t="shared" si="24"/>
        <v>2491.556657775538</v>
      </c>
      <c r="D277" s="31">
        <f t="shared" si="25"/>
        <v>1523.9555146700252</v>
      </c>
      <c r="E277" s="31">
        <f t="shared" si="26"/>
        <v>967.60114310551262</v>
      </c>
      <c r="F277" s="31">
        <f t="shared" si="27"/>
        <v>181042.29790146442</v>
      </c>
    </row>
    <row r="278" spans="1:6" x14ac:dyDescent="0.25">
      <c r="A278" s="30">
        <f t="shared" si="28"/>
        <v>269</v>
      </c>
      <c r="B278" s="31">
        <f t="shared" si="29"/>
        <v>181042.29790146442</v>
      </c>
      <c r="C278" s="31">
        <f t="shared" si="24"/>
        <v>2491.556657775538</v>
      </c>
      <c r="D278" s="31">
        <f t="shared" si="25"/>
        <v>1532.0324788977766</v>
      </c>
      <c r="E278" s="31">
        <f t="shared" si="26"/>
        <v>959.52417887776141</v>
      </c>
      <c r="F278" s="31">
        <f t="shared" si="27"/>
        <v>179510.26542256665</v>
      </c>
    </row>
    <row r="279" spans="1:6" x14ac:dyDescent="0.25">
      <c r="A279" s="30">
        <f t="shared" si="28"/>
        <v>270</v>
      </c>
      <c r="B279" s="31">
        <f t="shared" si="29"/>
        <v>179510.26542256665</v>
      </c>
      <c r="C279" s="31">
        <f t="shared" si="24"/>
        <v>2491.556657775538</v>
      </c>
      <c r="D279" s="31">
        <f t="shared" si="25"/>
        <v>1540.1522510359343</v>
      </c>
      <c r="E279" s="31">
        <f t="shared" si="26"/>
        <v>951.40440673960325</v>
      </c>
      <c r="F279" s="31">
        <f t="shared" si="27"/>
        <v>177970.11317153071</v>
      </c>
    </row>
    <row r="280" spans="1:6" x14ac:dyDescent="0.25">
      <c r="A280" s="30">
        <f t="shared" si="28"/>
        <v>271</v>
      </c>
      <c r="B280" s="31">
        <f t="shared" si="29"/>
        <v>177970.11317153071</v>
      </c>
      <c r="C280" s="31">
        <f t="shared" si="24"/>
        <v>2491.556657775538</v>
      </c>
      <c r="D280" s="31">
        <f t="shared" si="25"/>
        <v>1548.315057966425</v>
      </c>
      <c r="E280" s="31">
        <f t="shared" si="26"/>
        <v>943.24159980911281</v>
      </c>
      <c r="F280" s="31">
        <f t="shared" si="27"/>
        <v>176421.79811356429</v>
      </c>
    </row>
    <row r="281" spans="1:6" x14ac:dyDescent="0.25">
      <c r="A281" s="30">
        <f t="shared" si="28"/>
        <v>272</v>
      </c>
      <c r="B281" s="31">
        <f t="shared" si="29"/>
        <v>176421.79811356429</v>
      </c>
      <c r="C281" s="31">
        <f t="shared" si="24"/>
        <v>2491.556657775538</v>
      </c>
      <c r="D281" s="31">
        <f t="shared" si="25"/>
        <v>1556.5211277736473</v>
      </c>
      <c r="E281" s="31">
        <f t="shared" si="26"/>
        <v>935.03553000189072</v>
      </c>
      <c r="F281" s="31">
        <f t="shared" si="27"/>
        <v>174865.27698579064</v>
      </c>
    </row>
    <row r="282" spans="1:6" x14ac:dyDescent="0.25">
      <c r="A282" s="30">
        <f t="shared" si="28"/>
        <v>273</v>
      </c>
      <c r="B282" s="31">
        <f t="shared" si="29"/>
        <v>174865.27698579064</v>
      </c>
      <c r="C282" s="31">
        <f t="shared" si="24"/>
        <v>2491.556657775538</v>
      </c>
      <c r="D282" s="31">
        <f t="shared" si="25"/>
        <v>1564.7706897508474</v>
      </c>
      <c r="E282" s="31">
        <f t="shared" si="26"/>
        <v>926.78596802469053</v>
      </c>
      <c r="F282" s="31">
        <f t="shared" si="27"/>
        <v>173300.50629603979</v>
      </c>
    </row>
    <row r="283" spans="1:6" x14ac:dyDescent="0.25">
      <c r="A283" s="30">
        <f t="shared" si="28"/>
        <v>274</v>
      </c>
      <c r="B283" s="31">
        <f t="shared" si="29"/>
        <v>173300.50629603979</v>
      </c>
      <c r="C283" s="31">
        <f t="shared" si="24"/>
        <v>2491.556657775538</v>
      </c>
      <c r="D283" s="31">
        <f t="shared" si="25"/>
        <v>1573.063974406527</v>
      </c>
      <c r="E283" s="31">
        <f t="shared" si="26"/>
        <v>918.49268336901093</v>
      </c>
      <c r="F283" s="31">
        <f t="shared" si="27"/>
        <v>171727.44232163325</v>
      </c>
    </row>
    <row r="284" spans="1:6" x14ac:dyDescent="0.25">
      <c r="A284" s="30">
        <f t="shared" si="28"/>
        <v>275</v>
      </c>
      <c r="B284" s="31">
        <f t="shared" si="29"/>
        <v>171727.44232163325</v>
      </c>
      <c r="C284" s="31">
        <f t="shared" si="24"/>
        <v>2491.556657775538</v>
      </c>
      <c r="D284" s="31">
        <f t="shared" si="25"/>
        <v>1581.4012134708814</v>
      </c>
      <c r="E284" s="31">
        <f t="shared" si="26"/>
        <v>910.15544430465638</v>
      </c>
      <c r="F284" s="31">
        <f t="shared" si="27"/>
        <v>170146.04110816238</v>
      </c>
    </row>
    <row r="285" spans="1:6" x14ac:dyDescent="0.25">
      <c r="A285" s="30">
        <f t="shared" si="28"/>
        <v>276</v>
      </c>
      <c r="B285" s="31">
        <f t="shared" si="29"/>
        <v>170146.04110816238</v>
      </c>
      <c r="C285" s="31">
        <f t="shared" si="24"/>
        <v>2491.556657775538</v>
      </c>
      <c r="D285" s="31">
        <f t="shared" si="25"/>
        <v>1589.7826399022772</v>
      </c>
      <c r="E285" s="31">
        <f t="shared" si="26"/>
        <v>901.77401787326062</v>
      </c>
      <c r="F285" s="31">
        <f t="shared" si="27"/>
        <v>168556.25846826009</v>
      </c>
    </row>
    <row r="286" spans="1:6" x14ac:dyDescent="0.25">
      <c r="A286" s="30">
        <f t="shared" si="28"/>
        <v>277</v>
      </c>
      <c r="B286" s="31">
        <f t="shared" si="29"/>
        <v>168556.25846826009</v>
      </c>
      <c r="C286" s="31">
        <f t="shared" si="24"/>
        <v>2491.556657775538</v>
      </c>
      <c r="D286" s="31">
        <f t="shared" si="25"/>
        <v>1598.2084878937592</v>
      </c>
      <c r="E286" s="31">
        <f t="shared" si="26"/>
        <v>893.34816988177863</v>
      </c>
      <c r="F286" s="31">
        <f t="shared" si="27"/>
        <v>166958.04998036634</v>
      </c>
    </row>
    <row r="287" spans="1:6" x14ac:dyDescent="0.25">
      <c r="A287" s="30">
        <f t="shared" si="28"/>
        <v>278</v>
      </c>
      <c r="B287" s="31">
        <f t="shared" si="29"/>
        <v>166958.04998036634</v>
      </c>
      <c r="C287" s="31">
        <f t="shared" si="24"/>
        <v>2491.556657775538</v>
      </c>
      <c r="D287" s="31">
        <f t="shared" si="25"/>
        <v>1606.6789928795961</v>
      </c>
      <c r="E287" s="31">
        <f t="shared" si="26"/>
        <v>884.87766489594173</v>
      </c>
      <c r="F287" s="31">
        <f t="shared" si="27"/>
        <v>165351.37098748673</v>
      </c>
    </row>
    <row r="288" spans="1:6" x14ac:dyDescent="0.25">
      <c r="A288" s="30">
        <f t="shared" si="28"/>
        <v>279</v>
      </c>
      <c r="B288" s="31">
        <f t="shared" si="29"/>
        <v>165351.37098748673</v>
      </c>
      <c r="C288" s="31">
        <f t="shared" si="24"/>
        <v>2491.556657775538</v>
      </c>
      <c r="D288" s="31">
        <f t="shared" si="25"/>
        <v>1615.1943915418581</v>
      </c>
      <c r="E288" s="31">
        <f t="shared" si="26"/>
        <v>876.36226623367997</v>
      </c>
      <c r="F288" s="31">
        <f t="shared" si="27"/>
        <v>163736.17659594488</v>
      </c>
    </row>
    <row r="289" spans="1:6" x14ac:dyDescent="0.25">
      <c r="A289" s="30">
        <f t="shared" si="28"/>
        <v>280</v>
      </c>
      <c r="B289" s="31">
        <f t="shared" si="29"/>
        <v>163736.17659594488</v>
      </c>
      <c r="C289" s="31">
        <f t="shared" si="24"/>
        <v>2491.556657775538</v>
      </c>
      <c r="D289" s="31">
        <f t="shared" si="25"/>
        <v>1623.7549218170298</v>
      </c>
      <c r="E289" s="31">
        <f t="shared" si="26"/>
        <v>867.80173595850806</v>
      </c>
      <c r="F289" s="31">
        <f t="shared" si="27"/>
        <v>162112.42167412787</v>
      </c>
    </row>
    <row r="290" spans="1:6" x14ac:dyDescent="0.25">
      <c r="A290" s="30">
        <f t="shared" si="28"/>
        <v>281</v>
      </c>
      <c r="B290" s="31">
        <f t="shared" si="29"/>
        <v>162112.42167412787</v>
      </c>
      <c r="C290" s="31">
        <f t="shared" si="24"/>
        <v>2491.556657775538</v>
      </c>
      <c r="D290" s="31">
        <f t="shared" si="25"/>
        <v>1632.3608229026602</v>
      </c>
      <c r="E290" s="31">
        <f t="shared" si="26"/>
        <v>859.19583487287787</v>
      </c>
      <c r="F290" s="31">
        <f t="shared" si="27"/>
        <v>160480.06085122519</v>
      </c>
    </row>
    <row r="291" spans="1:6" x14ac:dyDescent="0.25">
      <c r="A291" s="30">
        <f t="shared" si="28"/>
        <v>282</v>
      </c>
      <c r="B291" s="31">
        <f t="shared" si="29"/>
        <v>160480.06085122519</v>
      </c>
      <c r="C291" s="31">
        <f t="shared" si="24"/>
        <v>2491.556657775538</v>
      </c>
      <c r="D291" s="31">
        <f t="shared" si="25"/>
        <v>1641.0123352640442</v>
      </c>
      <c r="E291" s="31">
        <f t="shared" si="26"/>
        <v>850.54432251149365</v>
      </c>
      <c r="F291" s="31">
        <f t="shared" si="27"/>
        <v>158839.04851596116</v>
      </c>
    </row>
    <row r="292" spans="1:6" x14ac:dyDescent="0.25">
      <c r="A292" s="30">
        <f t="shared" si="28"/>
        <v>283</v>
      </c>
      <c r="B292" s="31">
        <f t="shared" si="29"/>
        <v>158839.04851596116</v>
      </c>
      <c r="C292" s="31">
        <f t="shared" si="24"/>
        <v>2491.556657775538</v>
      </c>
      <c r="D292" s="31">
        <f t="shared" si="25"/>
        <v>1649.7097006409438</v>
      </c>
      <c r="E292" s="31">
        <f t="shared" si="26"/>
        <v>841.84695713459428</v>
      </c>
      <c r="F292" s="31">
        <f t="shared" si="27"/>
        <v>157189.33881532022</v>
      </c>
    </row>
    <row r="293" spans="1:6" x14ac:dyDescent="0.25">
      <c r="A293" s="30">
        <f t="shared" si="28"/>
        <v>284</v>
      </c>
      <c r="B293" s="31">
        <f t="shared" si="29"/>
        <v>157189.33881532022</v>
      </c>
      <c r="C293" s="31">
        <f t="shared" si="24"/>
        <v>2491.556657775538</v>
      </c>
      <c r="D293" s="31">
        <f t="shared" si="25"/>
        <v>1658.4531620543407</v>
      </c>
      <c r="E293" s="31">
        <f t="shared" si="26"/>
        <v>833.10349572119731</v>
      </c>
      <c r="F293" s="31">
        <f t="shared" si="27"/>
        <v>155530.8856532659</v>
      </c>
    </row>
    <row r="294" spans="1:6" x14ac:dyDescent="0.25">
      <c r="A294" s="30">
        <f t="shared" si="28"/>
        <v>285</v>
      </c>
      <c r="B294" s="31">
        <f t="shared" si="29"/>
        <v>155530.8856532659</v>
      </c>
      <c r="C294" s="31">
        <f t="shared" si="24"/>
        <v>2491.556657775538</v>
      </c>
      <c r="D294" s="31">
        <f t="shared" si="25"/>
        <v>1667.2429638132287</v>
      </c>
      <c r="E294" s="31">
        <f t="shared" si="26"/>
        <v>824.31369396230923</v>
      </c>
      <c r="F294" s="31">
        <f t="shared" si="27"/>
        <v>153863.64268945268</v>
      </c>
    </row>
    <row r="295" spans="1:6" x14ac:dyDescent="0.25">
      <c r="A295" s="30">
        <f t="shared" si="28"/>
        <v>286</v>
      </c>
      <c r="B295" s="31">
        <f t="shared" si="29"/>
        <v>153863.64268945268</v>
      </c>
      <c r="C295" s="31">
        <f t="shared" si="24"/>
        <v>2491.556657775538</v>
      </c>
      <c r="D295" s="31">
        <f t="shared" si="25"/>
        <v>1676.0793515214389</v>
      </c>
      <c r="E295" s="31">
        <f t="shared" si="26"/>
        <v>815.47730625409906</v>
      </c>
      <c r="F295" s="31">
        <f t="shared" si="27"/>
        <v>152187.56333793123</v>
      </c>
    </row>
    <row r="296" spans="1:6" x14ac:dyDescent="0.25">
      <c r="A296" s="30">
        <f t="shared" si="28"/>
        <v>287</v>
      </c>
      <c r="B296" s="31">
        <f t="shared" si="29"/>
        <v>152187.56333793123</v>
      </c>
      <c r="C296" s="31">
        <f t="shared" si="24"/>
        <v>2491.556657775538</v>
      </c>
      <c r="D296" s="31">
        <f t="shared" si="25"/>
        <v>1684.9625720845027</v>
      </c>
      <c r="E296" s="31">
        <f t="shared" si="26"/>
        <v>806.5940856910355</v>
      </c>
      <c r="F296" s="31">
        <f t="shared" si="27"/>
        <v>150502.60076584673</v>
      </c>
    </row>
    <row r="297" spans="1:6" x14ac:dyDescent="0.25">
      <c r="A297" s="30">
        <f t="shared" si="28"/>
        <v>288</v>
      </c>
      <c r="B297" s="31">
        <f t="shared" si="29"/>
        <v>150502.60076584673</v>
      </c>
      <c r="C297" s="31">
        <f t="shared" si="24"/>
        <v>2491.556657775538</v>
      </c>
      <c r="D297" s="31">
        <f t="shared" si="25"/>
        <v>1693.8928737165504</v>
      </c>
      <c r="E297" s="31">
        <f t="shared" si="26"/>
        <v>797.66378405898763</v>
      </c>
      <c r="F297" s="31">
        <f t="shared" si="27"/>
        <v>148808.70789213019</v>
      </c>
    </row>
    <row r="298" spans="1:6" x14ac:dyDescent="0.25">
      <c r="A298" s="30">
        <f t="shared" si="28"/>
        <v>289</v>
      </c>
      <c r="B298" s="31">
        <f t="shared" si="29"/>
        <v>148808.70789213019</v>
      </c>
      <c r="C298" s="31">
        <f t="shared" si="24"/>
        <v>2491.556657775538</v>
      </c>
      <c r="D298" s="31">
        <f t="shared" si="25"/>
        <v>1702.8705059472481</v>
      </c>
      <c r="E298" s="31">
        <f t="shared" si="26"/>
        <v>788.68615182829001</v>
      </c>
      <c r="F298" s="31">
        <f t="shared" si="27"/>
        <v>147105.83738618295</v>
      </c>
    </row>
    <row r="299" spans="1:6" x14ac:dyDescent="0.25">
      <c r="A299" s="30">
        <f t="shared" si="28"/>
        <v>290</v>
      </c>
      <c r="B299" s="31">
        <f t="shared" si="29"/>
        <v>147105.83738618295</v>
      </c>
      <c r="C299" s="31">
        <f t="shared" si="24"/>
        <v>2491.556657775538</v>
      </c>
      <c r="D299" s="31">
        <f t="shared" si="25"/>
        <v>1711.8957196287683</v>
      </c>
      <c r="E299" s="31">
        <f t="shared" si="26"/>
        <v>779.66093814676947</v>
      </c>
      <c r="F299" s="31">
        <f t="shared" si="27"/>
        <v>145393.94166655416</v>
      </c>
    </row>
    <row r="300" spans="1:6" x14ac:dyDescent="0.25">
      <c r="A300" s="30">
        <f t="shared" si="28"/>
        <v>291</v>
      </c>
      <c r="B300" s="31">
        <f t="shared" si="29"/>
        <v>145393.94166655416</v>
      </c>
      <c r="C300" s="31">
        <f t="shared" si="24"/>
        <v>2491.556657775538</v>
      </c>
      <c r="D300" s="31">
        <f t="shared" si="25"/>
        <v>1720.9687669428008</v>
      </c>
      <c r="E300" s="31">
        <f t="shared" si="26"/>
        <v>770.58789083273689</v>
      </c>
      <c r="F300" s="31">
        <f t="shared" si="27"/>
        <v>143672.97289961137</v>
      </c>
    </row>
    <row r="301" spans="1:6" x14ac:dyDescent="0.25">
      <c r="A301" s="30">
        <f t="shared" si="28"/>
        <v>292</v>
      </c>
      <c r="B301" s="31">
        <f t="shared" si="29"/>
        <v>143672.97289961137</v>
      </c>
      <c r="C301" s="31">
        <f t="shared" si="24"/>
        <v>2491.556657775538</v>
      </c>
      <c r="D301" s="31">
        <f t="shared" si="25"/>
        <v>1730.0899014075976</v>
      </c>
      <c r="E301" s="31">
        <f t="shared" si="26"/>
        <v>761.46675636794009</v>
      </c>
      <c r="F301" s="31">
        <f t="shared" si="27"/>
        <v>141942.88299820377</v>
      </c>
    </row>
    <row r="302" spans="1:6" x14ac:dyDescent="0.25">
      <c r="A302" s="30">
        <f t="shared" si="28"/>
        <v>293</v>
      </c>
      <c r="B302" s="31">
        <f t="shared" si="29"/>
        <v>141942.88299820377</v>
      </c>
      <c r="C302" s="31">
        <f t="shared" si="24"/>
        <v>2491.556657775538</v>
      </c>
      <c r="D302" s="31">
        <f t="shared" si="25"/>
        <v>1739.259377885058</v>
      </c>
      <c r="E302" s="31">
        <f t="shared" si="26"/>
        <v>752.29727989048001</v>
      </c>
      <c r="F302" s="31">
        <f t="shared" si="27"/>
        <v>140203.62362031871</v>
      </c>
    </row>
    <row r="303" spans="1:6" x14ac:dyDescent="0.25">
      <c r="A303" s="30">
        <f t="shared" si="28"/>
        <v>294</v>
      </c>
      <c r="B303" s="31">
        <f t="shared" si="29"/>
        <v>140203.62362031871</v>
      </c>
      <c r="C303" s="31">
        <f t="shared" si="24"/>
        <v>2491.556657775538</v>
      </c>
      <c r="D303" s="31">
        <f t="shared" si="25"/>
        <v>1748.477452587849</v>
      </c>
      <c r="E303" s="31">
        <f t="shared" si="26"/>
        <v>743.07920518768924</v>
      </c>
      <c r="F303" s="31">
        <f t="shared" si="27"/>
        <v>138455.14616773085</v>
      </c>
    </row>
    <row r="304" spans="1:6" x14ac:dyDescent="0.25">
      <c r="A304" s="30">
        <f t="shared" si="28"/>
        <v>295</v>
      </c>
      <c r="B304" s="31">
        <f t="shared" si="29"/>
        <v>138455.14616773085</v>
      </c>
      <c r="C304" s="31">
        <f t="shared" si="24"/>
        <v>2491.556657775538</v>
      </c>
      <c r="D304" s="31">
        <f t="shared" si="25"/>
        <v>1757.7443830865643</v>
      </c>
      <c r="E304" s="31">
        <f t="shared" si="26"/>
        <v>733.81227468897339</v>
      </c>
      <c r="F304" s="31">
        <f t="shared" si="27"/>
        <v>136697.40178464429</v>
      </c>
    </row>
    <row r="305" spans="1:6" x14ac:dyDescent="0.25">
      <c r="A305" s="30">
        <f t="shared" si="28"/>
        <v>296</v>
      </c>
      <c r="B305" s="31">
        <f t="shared" si="29"/>
        <v>136697.40178464429</v>
      </c>
      <c r="C305" s="31">
        <f t="shared" si="24"/>
        <v>2491.556657775538</v>
      </c>
      <c r="D305" s="31">
        <f t="shared" si="25"/>
        <v>1767.060428316923</v>
      </c>
      <c r="E305" s="31">
        <f t="shared" si="26"/>
        <v>724.49622945861472</v>
      </c>
      <c r="F305" s="31">
        <f t="shared" si="27"/>
        <v>134930.34135632738</v>
      </c>
    </row>
    <row r="306" spans="1:6" x14ac:dyDescent="0.25">
      <c r="A306" s="30">
        <f t="shared" si="28"/>
        <v>297</v>
      </c>
      <c r="B306" s="31">
        <f t="shared" si="29"/>
        <v>134930.34135632738</v>
      </c>
      <c r="C306" s="31">
        <f t="shared" si="24"/>
        <v>2491.556657775538</v>
      </c>
      <c r="D306" s="31">
        <f t="shared" si="25"/>
        <v>1776.425848587003</v>
      </c>
      <c r="E306" s="31">
        <f t="shared" si="26"/>
        <v>715.13080918853495</v>
      </c>
      <c r="F306" s="31">
        <f t="shared" si="27"/>
        <v>133153.91550774037</v>
      </c>
    </row>
    <row r="307" spans="1:6" x14ac:dyDescent="0.25">
      <c r="A307" s="30">
        <f t="shared" si="28"/>
        <v>298</v>
      </c>
      <c r="B307" s="31">
        <f t="shared" si="29"/>
        <v>133153.91550774037</v>
      </c>
      <c r="C307" s="31">
        <f t="shared" si="24"/>
        <v>2491.556657775538</v>
      </c>
      <c r="D307" s="31">
        <f t="shared" si="25"/>
        <v>1785.8409055845141</v>
      </c>
      <c r="E307" s="31">
        <f t="shared" si="26"/>
        <v>705.71575219102397</v>
      </c>
      <c r="F307" s="31">
        <f t="shared" si="27"/>
        <v>131368.07460215586</v>
      </c>
    </row>
    <row r="308" spans="1:6" x14ac:dyDescent="0.25">
      <c r="A308" s="30">
        <f t="shared" si="28"/>
        <v>299</v>
      </c>
      <c r="B308" s="31">
        <f t="shared" si="29"/>
        <v>131368.07460215586</v>
      </c>
      <c r="C308" s="31">
        <f t="shared" si="24"/>
        <v>2491.556657775538</v>
      </c>
      <c r="D308" s="31">
        <f t="shared" si="25"/>
        <v>1795.3058623841118</v>
      </c>
      <c r="E308" s="31">
        <f t="shared" si="26"/>
        <v>696.2507953914261</v>
      </c>
      <c r="F308" s="31">
        <f t="shared" si="27"/>
        <v>129572.76873977175</v>
      </c>
    </row>
    <row r="309" spans="1:6" x14ac:dyDescent="0.25">
      <c r="A309" s="30">
        <f t="shared" si="28"/>
        <v>300</v>
      </c>
      <c r="B309" s="31">
        <f t="shared" si="29"/>
        <v>129572.76873977175</v>
      </c>
      <c r="C309" s="31">
        <f t="shared" si="24"/>
        <v>2491.556657775538</v>
      </c>
      <c r="D309" s="31">
        <f t="shared" si="25"/>
        <v>1804.8209834547476</v>
      </c>
      <c r="E309" s="31">
        <f t="shared" si="26"/>
        <v>686.73567432079017</v>
      </c>
      <c r="F309" s="31">
        <f t="shared" si="27"/>
        <v>127767.94775631701</v>
      </c>
    </row>
    <row r="310" spans="1:6" x14ac:dyDescent="0.25">
      <c r="A310" s="30">
        <f t="shared" si="28"/>
        <v>301</v>
      </c>
      <c r="B310" s="31">
        <f t="shared" si="29"/>
        <v>127767.94775631701</v>
      </c>
      <c r="C310" s="31">
        <f t="shared" si="24"/>
        <v>2491.556657775538</v>
      </c>
      <c r="D310" s="31">
        <f t="shared" si="25"/>
        <v>1814.3865346670577</v>
      </c>
      <c r="E310" s="31">
        <f t="shared" si="26"/>
        <v>677.17012310847997</v>
      </c>
      <c r="F310" s="31">
        <f t="shared" si="27"/>
        <v>125953.56122164994</v>
      </c>
    </row>
    <row r="311" spans="1:6" x14ac:dyDescent="0.25">
      <c r="A311" s="30">
        <f t="shared" si="28"/>
        <v>302</v>
      </c>
      <c r="B311" s="31">
        <f t="shared" si="29"/>
        <v>125953.56122164994</v>
      </c>
      <c r="C311" s="31">
        <f t="shared" si="24"/>
        <v>2491.556657775538</v>
      </c>
      <c r="D311" s="31">
        <f t="shared" si="25"/>
        <v>1824.0027833007932</v>
      </c>
      <c r="E311" s="31">
        <f t="shared" si="26"/>
        <v>667.55387447474459</v>
      </c>
      <c r="F311" s="31">
        <f t="shared" si="27"/>
        <v>124129.55843834915</v>
      </c>
    </row>
    <row r="312" spans="1:6" x14ac:dyDescent="0.25">
      <c r="A312" s="30">
        <f t="shared" si="28"/>
        <v>303</v>
      </c>
      <c r="B312" s="31">
        <f t="shared" si="29"/>
        <v>124129.55843834915</v>
      </c>
      <c r="C312" s="31">
        <f t="shared" si="24"/>
        <v>2491.556657775538</v>
      </c>
      <c r="D312" s="31">
        <f t="shared" si="25"/>
        <v>1833.6699980522876</v>
      </c>
      <c r="E312" s="31">
        <f t="shared" si="26"/>
        <v>657.88665972325055</v>
      </c>
      <c r="F312" s="31">
        <f t="shared" si="27"/>
        <v>122295.88844029687</v>
      </c>
    </row>
    <row r="313" spans="1:6" x14ac:dyDescent="0.25">
      <c r="A313" s="30">
        <f t="shared" si="28"/>
        <v>304</v>
      </c>
      <c r="B313" s="31">
        <f t="shared" si="29"/>
        <v>122295.88844029687</v>
      </c>
      <c r="C313" s="31">
        <f t="shared" si="24"/>
        <v>2491.556657775538</v>
      </c>
      <c r="D313" s="31">
        <f t="shared" si="25"/>
        <v>1843.3884490419648</v>
      </c>
      <c r="E313" s="31">
        <f t="shared" si="26"/>
        <v>648.16820873357335</v>
      </c>
      <c r="F313" s="31">
        <f t="shared" si="27"/>
        <v>120452.49999125491</v>
      </c>
    </row>
    <row r="314" spans="1:6" x14ac:dyDescent="0.25">
      <c r="A314" s="30">
        <f t="shared" si="28"/>
        <v>305</v>
      </c>
      <c r="B314" s="31">
        <f t="shared" si="29"/>
        <v>120452.49999125491</v>
      </c>
      <c r="C314" s="31">
        <f t="shared" si="24"/>
        <v>2491.556657775538</v>
      </c>
      <c r="D314" s="31">
        <f t="shared" si="25"/>
        <v>1853.1584078218868</v>
      </c>
      <c r="E314" s="31">
        <f t="shared" si="26"/>
        <v>638.39824995365086</v>
      </c>
      <c r="F314" s="31">
        <f t="shared" si="27"/>
        <v>118599.34158343302</v>
      </c>
    </row>
    <row r="315" spans="1:6" x14ac:dyDescent="0.25">
      <c r="A315" s="30">
        <f t="shared" si="28"/>
        <v>306</v>
      </c>
      <c r="B315" s="31">
        <f t="shared" si="29"/>
        <v>118599.34158343302</v>
      </c>
      <c r="C315" s="31">
        <f t="shared" si="24"/>
        <v>2491.556657775538</v>
      </c>
      <c r="D315" s="31">
        <f t="shared" si="25"/>
        <v>1862.9801473833431</v>
      </c>
      <c r="E315" s="31">
        <f t="shared" si="26"/>
        <v>628.5765103921949</v>
      </c>
      <c r="F315" s="31">
        <f t="shared" si="27"/>
        <v>116736.36143604969</v>
      </c>
    </row>
    <row r="316" spans="1:6" x14ac:dyDescent="0.25">
      <c r="A316" s="30">
        <f t="shared" si="28"/>
        <v>307</v>
      </c>
      <c r="B316" s="31">
        <f t="shared" si="29"/>
        <v>116736.36143604969</v>
      </c>
      <c r="C316" s="31">
        <f t="shared" si="24"/>
        <v>2491.556657775538</v>
      </c>
      <c r="D316" s="31">
        <f t="shared" si="25"/>
        <v>1872.8539421644748</v>
      </c>
      <c r="E316" s="31">
        <f t="shared" si="26"/>
        <v>618.70271561106324</v>
      </c>
      <c r="F316" s="31">
        <f t="shared" si="27"/>
        <v>114863.5074938852</v>
      </c>
    </row>
    <row r="317" spans="1:6" x14ac:dyDescent="0.25">
      <c r="A317" s="30">
        <f t="shared" si="28"/>
        <v>308</v>
      </c>
      <c r="B317" s="31">
        <f t="shared" si="29"/>
        <v>114863.5074938852</v>
      </c>
      <c r="C317" s="31">
        <f t="shared" si="24"/>
        <v>2491.556657775538</v>
      </c>
      <c r="D317" s="31">
        <f t="shared" si="25"/>
        <v>1882.7800680579464</v>
      </c>
      <c r="E317" s="31">
        <f t="shared" si="26"/>
        <v>608.77658971759138</v>
      </c>
      <c r="F317" s="31">
        <f t="shared" si="27"/>
        <v>112980.72742582725</v>
      </c>
    </row>
    <row r="318" spans="1:6" x14ac:dyDescent="0.25">
      <c r="A318" s="30">
        <f t="shared" si="28"/>
        <v>309</v>
      </c>
      <c r="B318" s="31">
        <f t="shared" si="29"/>
        <v>112980.72742582725</v>
      </c>
      <c r="C318" s="31">
        <f t="shared" si="24"/>
        <v>2491.556657775538</v>
      </c>
      <c r="D318" s="31">
        <f t="shared" si="25"/>
        <v>1892.7588024186534</v>
      </c>
      <c r="E318" s="31">
        <f t="shared" si="26"/>
        <v>598.79785535688427</v>
      </c>
      <c r="F318" s="31">
        <f t="shared" si="27"/>
        <v>111087.9686234086</v>
      </c>
    </row>
    <row r="319" spans="1:6" x14ac:dyDescent="0.25">
      <c r="A319" s="30">
        <f t="shared" si="28"/>
        <v>310</v>
      </c>
      <c r="B319" s="31">
        <f t="shared" si="29"/>
        <v>111087.9686234086</v>
      </c>
      <c r="C319" s="31">
        <f t="shared" si="24"/>
        <v>2491.556657775538</v>
      </c>
      <c r="D319" s="31">
        <f t="shared" si="25"/>
        <v>1902.7904240714727</v>
      </c>
      <c r="E319" s="31">
        <f t="shared" si="26"/>
        <v>588.76623370406548</v>
      </c>
      <c r="F319" s="31">
        <f t="shared" si="27"/>
        <v>109185.17819933713</v>
      </c>
    </row>
    <row r="320" spans="1:6" x14ac:dyDescent="0.25">
      <c r="A320" s="30">
        <f t="shared" si="28"/>
        <v>311</v>
      </c>
      <c r="B320" s="31">
        <f t="shared" si="29"/>
        <v>109185.17819933713</v>
      </c>
      <c r="C320" s="31">
        <f t="shared" si="24"/>
        <v>2491.556657775538</v>
      </c>
      <c r="D320" s="31">
        <f t="shared" si="25"/>
        <v>1912.8752133190512</v>
      </c>
      <c r="E320" s="31">
        <f t="shared" si="26"/>
        <v>578.6814444564867</v>
      </c>
      <c r="F320" s="31">
        <f t="shared" si="27"/>
        <v>107272.30298601807</v>
      </c>
    </row>
    <row r="321" spans="1:6" x14ac:dyDescent="0.25">
      <c r="A321" s="30">
        <f t="shared" si="28"/>
        <v>312</v>
      </c>
      <c r="B321" s="31">
        <f t="shared" si="29"/>
        <v>107272.30298601807</v>
      </c>
      <c r="C321" s="31">
        <f t="shared" si="24"/>
        <v>2491.556657775538</v>
      </c>
      <c r="D321" s="31">
        <f t="shared" si="25"/>
        <v>1923.0134519496423</v>
      </c>
      <c r="E321" s="31">
        <f t="shared" si="26"/>
        <v>568.5432058258956</v>
      </c>
      <c r="F321" s="31">
        <f t="shared" si="27"/>
        <v>105349.28953406843</v>
      </c>
    </row>
    <row r="322" spans="1:6" x14ac:dyDescent="0.25">
      <c r="A322" s="30">
        <f t="shared" si="28"/>
        <v>313</v>
      </c>
      <c r="B322" s="31">
        <f t="shared" si="29"/>
        <v>105349.28953406843</v>
      </c>
      <c r="C322" s="31">
        <f t="shared" si="24"/>
        <v>2491.556657775538</v>
      </c>
      <c r="D322" s="31">
        <f t="shared" si="25"/>
        <v>1933.2054232449755</v>
      </c>
      <c r="E322" s="31">
        <f t="shared" si="26"/>
        <v>558.35123453056258</v>
      </c>
      <c r="F322" s="31">
        <f t="shared" si="27"/>
        <v>103416.08411082346</v>
      </c>
    </row>
    <row r="323" spans="1:6" x14ac:dyDescent="0.25">
      <c r="A323" s="30">
        <f t="shared" si="28"/>
        <v>314</v>
      </c>
      <c r="B323" s="31">
        <f t="shared" si="29"/>
        <v>103416.08411082346</v>
      </c>
      <c r="C323" s="31">
        <f t="shared" si="24"/>
        <v>2491.556657775538</v>
      </c>
      <c r="D323" s="31">
        <f t="shared" si="25"/>
        <v>1943.4514119881735</v>
      </c>
      <c r="E323" s="31">
        <f t="shared" si="26"/>
        <v>548.1052457873642</v>
      </c>
      <c r="F323" s="31">
        <f t="shared" si="27"/>
        <v>101472.63269883528</v>
      </c>
    </row>
    <row r="324" spans="1:6" x14ac:dyDescent="0.25">
      <c r="A324" s="30">
        <f t="shared" si="28"/>
        <v>315</v>
      </c>
      <c r="B324" s="31">
        <f t="shared" si="29"/>
        <v>101472.63269883528</v>
      </c>
      <c r="C324" s="31">
        <f t="shared" si="24"/>
        <v>2491.556657775538</v>
      </c>
      <c r="D324" s="31">
        <f t="shared" si="25"/>
        <v>1953.7517044717108</v>
      </c>
      <c r="E324" s="31">
        <f t="shared" si="26"/>
        <v>537.80495330382678</v>
      </c>
      <c r="F324" s="31">
        <f t="shared" si="27"/>
        <v>99518.880994363572</v>
      </c>
    </row>
    <row r="325" spans="1:6" x14ac:dyDescent="0.25">
      <c r="A325" s="30">
        <f t="shared" si="28"/>
        <v>316</v>
      </c>
      <c r="B325" s="31">
        <f t="shared" si="29"/>
        <v>99518.880994363572</v>
      </c>
      <c r="C325" s="31">
        <f t="shared" si="24"/>
        <v>2491.556657775538</v>
      </c>
      <c r="D325" s="31">
        <f t="shared" si="25"/>
        <v>1964.1065885054113</v>
      </c>
      <c r="E325" s="31">
        <f t="shared" si="26"/>
        <v>527.45006927012685</v>
      </c>
      <c r="F325" s="31">
        <f t="shared" si="27"/>
        <v>97554.774405858159</v>
      </c>
    </row>
    <row r="326" spans="1:6" x14ac:dyDescent="0.25">
      <c r="A326" s="30">
        <f t="shared" si="28"/>
        <v>317</v>
      </c>
      <c r="B326" s="31">
        <f t="shared" si="29"/>
        <v>97554.774405858159</v>
      </c>
      <c r="C326" s="31">
        <f t="shared" si="24"/>
        <v>2491.556657775538</v>
      </c>
      <c r="D326" s="31">
        <f t="shared" si="25"/>
        <v>1974.5163534244898</v>
      </c>
      <c r="E326" s="31">
        <f t="shared" si="26"/>
        <v>517.04030435104812</v>
      </c>
      <c r="F326" s="31">
        <f t="shared" si="27"/>
        <v>95580.258052433666</v>
      </c>
    </row>
    <row r="327" spans="1:6" x14ac:dyDescent="0.25">
      <c r="A327" s="30">
        <f t="shared" si="28"/>
        <v>318</v>
      </c>
      <c r="B327" s="31">
        <f t="shared" si="29"/>
        <v>95580.258052433666</v>
      </c>
      <c r="C327" s="31">
        <f t="shared" si="24"/>
        <v>2491.556657775538</v>
      </c>
      <c r="D327" s="31">
        <f t="shared" si="25"/>
        <v>1984.9812900976394</v>
      </c>
      <c r="E327" s="31">
        <f t="shared" si="26"/>
        <v>506.57536767789838</v>
      </c>
      <c r="F327" s="31">
        <f t="shared" si="27"/>
        <v>93595.276762336027</v>
      </c>
    </row>
    <row r="328" spans="1:6" x14ac:dyDescent="0.25">
      <c r="A328" s="30">
        <f t="shared" si="28"/>
        <v>319</v>
      </c>
      <c r="B328" s="31">
        <f t="shared" si="29"/>
        <v>93595.276762336027</v>
      </c>
      <c r="C328" s="31">
        <f t="shared" si="24"/>
        <v>2491.556657775538</v>
      </c>
      <c r="D328" s="31">
        <f t="shared" si="25"/>
        <v>1995.5016909351573</v>
      </c>
      <c r="E328" s="31">
        <f t="shared" si="26"/>
        <v>496.05496684038093</v>
      </c>
      <c r="F328" s="31">
        <f t="shared" si="27"/>
        <v>91599.775071400873</v>
      </c>
    </row>
    <row r="329" spans="1:6" x14ac:dyDescent="0.25">
      <c r="A329" s="30">
        <f t="shared" si="28"/>
        <v>320</v>
      </c>
      <c r="B329" s="31">
        <f t="shared" si="29"/>
        <v>91599.775071400873</v>
      </c>
      <c r="C329" s="31">
        <f t="shared" si="24"/>
        <v>2491.556657775538</v>
      </c>
      <c r="D329" s="31">
        <f t="shared" si="25"/>
        <v>2006.0778498971135</v>
      </c>
      <c r="E329" s="31">
        <f t="shared" si="26"/>
        <v>485.47880787842456</v>
      </c>
      <c r="F329" s="31">
        <f t="shared" si="27"/>
        <v>89593.697221503753</v>
      </c>
    </row>
    <row r="330" spans="1:6" x14ac:dyDescent="0.25">
      <c r="A330" s="30">
        <f t="shared" si="28"/>
        <v>321</v>
      </c>
      <c r="B330" s="31">
        <f t="shared" si="29"/>
        <v>89593.697221503753</v>
      </c>
      <c r="C330" s="31">
        <f t="shared" ref="C330:C369" si="30">IFERROR(PMT(Assump_BaseRate/12,Assump_TermMos,-Assump_LoanAmt),0)</f>
        <v>2491.556657775538</v>
      </c>
      <c r="D330" s="31">
        <f t="shared" ref="D330:D369" si="31">IFERROR(PPMT(Assump_BaseRate/12,A330,Assump_TermMos,-Assump_LoanAmt),0)</f>
        <v>2016.7100625015678</v>
      </c>
      <c r="E330" s="31">
        <f t="shared" ref="E330:E369" si="32">IFERROR(IPMT(Assump_BaseRate/12,A330,Assump_TermMos,-Assump_LoanAmt),0)</f>
        <v>474.8465952739698</v>
      </c>
      <c r="F330" s="31">
        <f t="shared" ref="F330:F369" si="33">IFERROR(B330-D330,0)</f>
        <v>87576.987159002179</v>
      </c>
    </row>
    <row r="331" spans="1:6" x14ac:dyDescent="0.25">
      <c r="A331" s="30">
        <f t="shared" ref="A331:A369" si="34">A330+1</f>
        <v>322</v>
      </c>
      <c r="B331" s="31">
        <f t="shared" ref="B331:B369" si="35">F330</f>
        <v>87576.987159002179</v>
      </c>
      <c r="C331" s="31">
        <f t="shared" si="30"/>
        <v>2491.556657775538</v>
      </c>
      <c r="D331" s="31">
        <f t="shared" si="31"/>
        <v>2027.3986258328264</v>
      </c>
      <c r="E331" s="31">
        <f t="shared" si="32"/>
        <v>464.15803194271149</v>
      </c>
      <c r="F331" s="31">
        <f t="shared" si="33"/>
        <v>85549.588533169357</v>
      </c>
    </row>
    <row r="332" spans="1:6" x14ac:dyDescent="0.25">
      <c r="A332" s="30">
        <f t="shared" si="34"/>
        <v>323</v>
      </c>
      <c r="B332" s="31">
        <f t="shared" si="35"/>
        <v>85549.588533169357</v>
      </c>
      <c r="C332" s="31">
        <f t="shared" si="30"/>
        <v>2491.556657775538</v>
      </c>
      <c r="D332" s="31">
        <f t="shared" si="31"/>
        <v>2038.1438385497402</v>
      </c>
      <c r="E332" s="31">
        <f t="shared" si="32"/>
        <v>453.41281922579753</v>
      </c>
      <c r="F332" s="31">
        <f t="shared" si="33"/>
        <v>83511.444694619611</v>
      </c>
    </row>
    <row r="333" spans="1:6" x14ac:dyDescent="0.25">
      <c r="A333" s="30">
        <f t="shared" si="34"/>
        <v>324</v>
      </c>
      <c r="B333" s="31">
        <f t="shared" si="35"/>
        <v>83511.444694619611</v>
      </c>
      <c r="C333" s="31">
        <f t="shared" si="30"/>
        <v>2491.556657775538</v>
      </c>
      <c r="D333" s="31">
        <f t="shared" si="31"/>
        <v>2048.9460008940541</v>
      </c>
      <c r="E333" s="31">
        <f t="shared" si="32"/>
        <v>442.61065688148386</v>
      </c>
      <c r="F333" s="31">
        <f t="shared" si="33"/>
        <v>81462.49869372556</v>
      </c>
    </row>
    <row r="334" spans="1:6" x14ac:dyDescent="0.25">
      <c r="A334" s="30">
        <f t="shared" si="34"/>
        <v>325</v>
      </c>
      <c r="B334" s="31">
        <f t="shared" si="35"/>
        <v>81462.49869372556</v>
      </c>
      <c r="C334" s="31">
        <f t="shared" si="30"/>
        <v>2491.556657775538</v>
      </c>
      <c r="D334" s="31">
        <f t="shared" si="31"/>
        <v>2059.8054146987924</v>
      </c>
      <c r="E334" s="31">
        <f t="shared" si="32"/>
        <v>431.75124307674548</v>
      </c>
      <c r="F334" s="31">
        <f t="shared" si="33"/>
        <v>79402.693279026775</v>
      </c>
    </row>
    <row r="335" spans="1:6" x14ac:dyDescent="0.25">
      <c r="A335" s="30">
        <f t="shared" si="34"/>
        <v>326</v>
      </c>
      <c r="B335" s="31">
        <f t="shared" si="35"/>
        <v>79402.693279026775</v>
      </c>
      <c r="C335" s="31">
        <f t="shared" si="30"/>
        <v>2491.556657775538</v>
      </c>
      <c r="D335" s="31">
        <f t="shared" si="31"/>
        <v>2070.7223833966964</v>
      </c>
      <c r="E335" s="31">
        <f t="shared" si="32"/>
        <v>420.83427437884183</v>
      </c>
      <c r="F335" s="31">
        <f t="shared" si="33"/>
        <v>77331.970895630075</v>
      </c>
    </row>
    <row r="336" spans="1:6" x14ac:dyDescent="0.25">
      <c r="A336" s="30">
        <f t="shared" si="34"/>
        <v>327</v>
      </c>
      <c r="B336" s="31">
        <f t="shared" si="35"/>
        <v>77331.970895630075</v>
      </c>
      <c r="C336" s="31">
        <f t="shared" si="30"/>
        <v>2491.556657775538</v>
      </c>
      <c r="D336" s="31">
        <f t="shared" si="31"/>
        <v>2081.6972120286982</v>
      </c>
      <c r="E336" s="31">
        <f t="shared" si="32"/>
        <v>409.8594457468393</v>
      </c>
      <c r="F336" s="31">
        <f t="shared" si="33"/>
        <v>75250.273683601379</v>
      </c>
    </row>
    <row r="337" spans="1:6" x14ac:dyDescent="0.25">
      <c r="A337" s="30">
        <f t="shared" si="34"/>
        <v>328</v>
      </c>
      <c r="B337" s="31">
        <f t="shared" si="35"/>
        <v>75250.273683601379</v>
      </c>
      <c r="C337" s="31">
        <f t="shared" si="30"/>
        <v>2491.556657775538</v>
      </c>
      <c r="D337" s="31">
        <f t="shared" si="31"/>
        <v>2092.7302072524503</v>
      </c>
      <c r="E337" s="31">
        <f t="shared" si="32"/>
        <v>398.82645052308726</v>
      </c>
      <c r="F337" s="31">
        <f t="shared" si="33"/>
        <v>73157.543476348932</v>
      </c>
    </row>
    <row r="338" spans="1:6" x14ac:dyDescent="0.25">
      <c r="A338" s="30">
        <f t="shared" si="34"/>
        <v>329</v>
      </c>
      <c r="B338" s="31">
        <f t="shared" si="35"/>
        <v>73157.543476348932</v>
      </c>
      <c r="C338" s="31">
        <f t="shared" si="30"/>
        <v>2491.556657775538</v>
      </c>
      <c r="D338" s="31">
        <f t="shared" si="31"/>
        <v>2103.8216773508884</v>
      </c>
      <c r="E338" s="31">
        <f t="shared" si="32"/>
        <v>387.73498042464928</v>
      </c>
      <c r="F338" s="31">
        <f t="shared" si="33"/>
        <v>71053.721798998042</v>
      </c>
    </row>
    <row r="339" spans="1:6" x14ac:dyDescent="0.25">
      <c r="A339" s="30">
        <f t="shared" si="34"/>
        <v>330</v>
      </c>
      <c r="B339" s="31">
        <f t="shared" si="35"/>
        <v>71053.721798998042</v>
      </c>
      <c r="C339" s="31">
        <f t="shared" si="30"/>
        <v>2491.556657775538</v>
      </c>
      <c r="D339" s="31">
        <f t="shared" si="31"/>
        <v>2114.9719322408482</v>
      </c>
      <c r="E339" s="31">
        <f t="shared" si="32"/>
        <v>376.58472553468954</v>
      </c>
      <c r="F339" s="31">
        <f t="shared" si="33"/>
        <v>68938.749866757193</v>
      </c>
    </row>
    <row r="340" spans="1:6" x14ac:dyDescent="0.25">
      <c r="A340" s="30">
        <f t="shared" si="34"/>
        <v>331</v>
      </c>
      <c r="B340" s="31">
        <f t="shared" si="35"/>
        <v>68938.749866757193</v>
      </c>
      <c r="C340" s="31">
        <f t="shared" si="30"/>
        <v>2491.556657775538</v>
      </c>
      <c r="D340" s="31">
        <f t="shared" si="31"/>
        <v>2126.1812834817251</v>
      </c>
      <c r="E340" s="31">
        <f t="shared" si="32"/>
        <v>365.37537429381314</v>
      </c>
      <c r="F340" s="31">
        <f t="shared" si="33"/>
        <v>66812.568583275468</v>
      </c>
    </row>
    <row r="341" spans="1:6" x14ac:dyDescent="0.25">
      <c r="A341" s="30">
        <f t="shared" si="34"/>
        <v>332</v>
      </c>
      <c r="B341" s="31">
        <f t="shared" si="35"/>
        <v>66812.568583275468</v>
      </c>
      <c r="C341" s="31">
        <f t="shared" si="30"/>
        <v>2491.556657775538</v>
      </c>
      <c r="D341" s="31">
        <f t="shared" si="31"/>
        <v>2137.4500442841781</v>
      </c>
      <c r="E341" s="31">
        <f t="shared" si="32"/>
        <v>354.10661349135989</v>
      </c>
      <c r="F341" s="31">
        <f t="shared" si="33"/>
        <v>64675.118538991286</v>
      </c>
    </row>
    <row r="342" spans="1:6" x14ac:dyDescent="0.25">
      <c r="A342" s="30">
        <f t="shared" si="34"/>
        <v>333</v>
      </c>
      <c r="B342" s="31">
        <f t="shared" si="35"/>
        <v>64675.118538991286</v>
      </c>
      <c r="C342" s="31">
        <f t="shared" si="30"/>
        <v>2491.556657775538</v>
      </c>
      <c r="D342" s="31">
        <f t="shared" si="31"/>
        <v>2148.7785295188842</v>
      </c>
      <c r="E342" s="31">
        <f t="shared" si="32"/>
        <v>342.7781282566537</v>
      </c>
      <c r="F342" s="31">
        <f t="shared" si="33"/>
        <v>62526.340009472406</v>
      </c>
    </row>
    <row r="343" spans="1:6" x14ac:dyDescent="0.25">
      <c r="A343" s="30">
        <f t="shared" si="34"/>
        <v>334</v>
      </c>
      <c r="B343" s="31">
        <f t="shared" si="35"/>
        <v>62526.340009472406</v>
      </c>
      <c r="C343" s="31">
        <f t="shared" si="30"/>
        <v>2491.556657775538</v>
      </c>
      <c r="D343" s="31">
        <f t="shared" si="31"/>
        <v>2160.1670557253342</v>
      </c>
      <c r="E343" s="31">
        <f t="shared" si="32"/>
        <v>331.38960205020368</v>
      </c>
      <c r="F343" s="31">
        <f t="shared" si="33"/>
        <v>60366.172953747075</v>
      </c>
    </row>
    <row r="344" spans="1:6" x14ac:dyDescent="0.25">
      <c r="A344" s="30">
        <f t="shared" si="34"/>
        <v>335</v>
      </c>
      <c r="B344" s="31">
        <f t="shared" si="35"/>
        <v>60366.172953747075</v>
      </c>
      <c r="C344" s="31">
        <f t="shared" si="30"/>
        <v>2491.556657775538</v>
      </c>
      <c r="D344" s="31">
        <f t="shared" si="31"/>
        <v>2171.6159411206786</v>
      </c>
      <c r="E344" s="31">
        <f t="shared" si="32"/>
        <v>319.94071665485939</v>
      </c>
      <c r="F344" s="31">
        <f t="shared" si="33"/>
        <v>58194.557012626399</v>
      </c>
    </row>
    <row r="345" spans="1:6" x14ac:dyDescent="0.25">
      <c r="A345" s="30">
        <f t="shared" si="34"/>
        <v>336</v>
      </c>
      <c r="B345" s="31">
        <f t="shared" si="35"/>
        <v>58194.557012626399</v>
      </c>
      <c r="C345" s="31">
        <f t="shared" si="30"/>
        <v>2491.556657775538</v>
      </c>
      <c r="D345" s="31">
        <f t="shared" si="31"/>
        <v>2183.1255056086179</v>
      </c>
      <c r="E345" s="31">
        <f t="shared" si="32"/>
        <v>308.43115216691979</v>
      </c>
      <c r="F345" s="31">
        <f t="shared" si="33"/>
        <v>56011.431507017784</v>
      </c>
    </row>
    <row r="346" spans="1:6" x14ac:dyDescent="0.25">
      <c r="A346" s="30">
        <f t="shared" si="34"/>
        <v>337</v>
      </c>
      <c r="B346" s="31">
        <f t="shared" si="35"/>
        <v>56011.431507017784</v>
      </c>
      <c r="C346" s="31">
        <f t="shared" si="30"/>
        <v>2491.556657775538</v>
      </c>
      <c r="D346" s="31">
        <f t="shared" si="31"/>
        <v>2194.6960707883436</v>
      </c>
      <c r="E346" s="31">
        <f t="shared" si="32"/>
        <v>296.8605869871941</v>
      </c>
      <c r="F346" s="31">
        <f t="shared" si="33"/>
        <v>53816.735436229443</v>
      </c>
    </row>
    <row r="347" spans="1:6" x14ac:dyDescent="0.25">
      <c r="A347" s="30">
        <f t="shared" si="34"/>
        <v>338</v>
      </c>
      <c r="B347" s="31">
        <f t="shared" si="35"/>
        <v>53816.735436229443</v>
      </c>
      <c r="C347" s="31">
        <f t="shared" si="30"/>
        <v>2491.556657775538</v>
      </c>
      <c r="D347" s="31">
        <f t="shared" si="31"/>
        <v>2206.3279599635221</v>
      </c>
      <c r="E347" s="31">
        <f t="shared" si="32"/>
        <v>285.22869781201587</v>
      </c>
      <c r="F347" s="31">
        <f t="shared" si="33"/>
        <v>51610.407476265922</v>
      </c>
    </row>
    <row r="348" spans="1:6" x14ac:dyDescent="0.25">
      <c r="A348" s="30">
        <f t="shared" si="34"/>
        <v>339</v>
      </c>
      <c r="B348" s="31">
        <f t="shared" si="35"/>
        <v>51610.407476265922</v>
      </c>
      <c r="C348" s="31">
        <f t="shared" si="30"/>
        <v>2491.556657775538</v>
      </c>
      <c r="D348" s="31">
        <f t="shared" si="31"/>
        <v>2218.0214981513286</v>
      </c>
      <c r="E348" s="31">
        <f t="shared" si="32"/>
        <v>273.53515962420926</v>
      </c>
      <c r="F348" s="31">
        <f t="shared" si="33"/>
        <v>49392.385978114595</v>
      </c>
    </row>
    <row r="349" spans="1:6" x14ac:dyDescent="0.25">
      <c r="A349" s="30">
        <f t="shared" si="34"/>
        <v>340</v>
      </c>
      <c r="B349" s="31">
        <f t="shared" si="35"/>
        <v>49392.385978114595</v>
      </c>
      <c r="C349" s="31">
        <f t="shared" si="30"/>
        <v>2491.556657775538</v>
      </c>
      <c r="D349" s="31">
        <f t="shared" si="31"/>
        <v>2229.7770120915307</v>
      </c>
      <c r="E349" s="31">
        <f t="shared" si="32"/>
        <v>261.77964568400722</v>
      </c>
      <c r="F349" s="31">
        <f t="shared" si="33"/>
        <v>47162.608966023065</v>
      </c>
    </row>
    <row r="350" spans="1:6" x14ac:dyDescent="0.25">
      <c r="A350" s="30">
        <f t="shared" si="34"/>
        <v>341</v>
      </c>
      <c r="B350" s="31">
        <f t="shared" si="35"/>
        <v>47162.608966023065</v>
      </c>
      <c r="C350" s="31">
        <f t="shared" si="30"/>
        <v>2491.556657775538</v>
      </c>
      <c r="D350" s="31">
        <f t="shared" si="31"/>
        <v>2241.5948302556158</v>
      </c>
      <c r="E350" s="31">
        <f t="shared" si="32"/>
        <v>249.96182751992205</v>
      </c>
      <c r="F350" s="31">
        <f t="shared" si="33"/>
        <v>44921.014135767451</v>
      </c>
    </row>
    <row r="351" spans="1:6" x14ac:dyDescent="0.25">
      <c r="A351" s="30">
        <f t="shared" si="34"/>
        <v>342</v>
      </c>
      <c r="B351" s="31">
        <f t="shared" si="35"/>
        <v>44921.014135767451</v>
      </c>
      <c r="C351" s="31">
        <f t="shared" si="30"/>
        <v>2491.556657775538</v>
      </c>
      <c r="D351" s="31">
        <f t="shared" si="31"/>
        <v>2253.4752828559704</v>
      </c>
      <c r="E351" s="31">
        <f t="shared" si="32"/>
        <v>238.08137491956725</v>
      </c>
      <c r="F351" s="31">
        <f t="shared" si="33"/>
        <v>42667.538852911479</v>
      </c>
    </row>
    <row r="352" spans="1:6" x14ac:dyDescent="0.25">
      <c r="A352" s="30">
        <f t="shared" si="34"/>
        <v>343</v>
      </c>
      <c r="B352" s="31">
        <f t="shared" si="35"/>
        <v>42667.538852911479</v>
      </c>
      <c r="C352" s="31">
        <f t="shared" si="30"/>
        <v>2491.556657775538</v>
      </c>
      <c r="D352" s="31">
        <f t="shared" si="31"/>
        <v>2265.418701855107</v>
      </c>
      <c r="E352" s="31">
        <f t="shared" si="32"/>
        <v>226.1379559204307</v>
      </c>
      <c r="F352" s="31">
        <f t="shared" si="33"/>
        <v>40402.12015105637</v>
      </c>
    </row>
    <row r="353" spans="1:6" x14ac:dyDescent="0.25">
      <c r="A353" s="30">
        <f t="shared" si="34"/>
        <v>344</v>
      </c>
      <c r="B353" s="31">
        <f t="shared" si="35"/>
        <v>40402.12015105637</v>
      </c>
      <c r="C353" s="31">
        <f t="shared" si="30"/>
        <v>2491.556657775538</v>
      </c>
      <c r="D353" s="31">
        <f t="shared" si="31"/>
        <v>2277.4254209749392</v>
      </c>
      <c r="E353" s="31">
        <f t="shared" si="32"/>
        <v>214.1312368005986</v>
      </c>
      <c r="F353" s="31">
        <f t="shared" si="33"/>
        <v>38124.694730081428</v>
      </c>
    </row>
    <row r="354" spans="1:6" x14ac:dyDescent="0.25">
      <c r="A354" s="30">
        <f t="shared" si="34"/>
        <v>345</v>
      </c>
      <c r="B354" s="31">
        <f t="shared" si="35"/>
        <v>38124.694730081428</v>
      </c>
      <c r="C354" s="31">
        <f t="shared" si="30"/>
        <v>2491.556657775538</v>
      </c>
      <c r="D354" s="31">
        <f t="shared" si="31"/>
        <v>2289.4957757061065</v>
      </c>
      <c r="E354" s="31">
        <f t="shared" si="32"/>
        <v>202.06088206943144</v>
      </c>
      <c r="F354" s="31">
        <f t="shared" si="33"/>
        <v>35835.198954375323</v>
      </c>
    </row>
    <row r="355" spans="1:6" x14ac:dyDescent="0.25">
      <c r="A355" s="30">
        <f t="shared" si="34"/>
        <v>346</v>
      </c>
      <c r="B355" s="31">
        <f t="shared" si="35"/>
        <v>35835.198954375323</v>
      </c>
      <c r="C355" s="31">
        <f t="shared" si="30"/>
        <v>2491.556657775538</v>
      </c>
      <c r="D355" s="31">
        <f t="shared" si="31"/>
        <v>2301.6301033173486</v>
      </c>
      <c r="E355" s="31">
        <f t="shared" si="32"/>
        <v>189.92655445818906</v>
      </c>
      <c r="F355" s="31">
        <f t="shared" si="33"/>
        <v>33533.568851057971</v>
      </c>
    </row>
    <row r="356" spans="1:6" x14ac:dyDescent="0.25">
      <c r="A356" s="30">
        <f t="shared" si="34"/>
        <v>347</v>
      </c>
      <c r="B356" s="31">
        <f t="shared" si="35"/>
        <v>33533.568851057971</v>
      </c>
      <c r="C356" s="31">
        <f t="shared" si="30"/>
        <v>2491.556657775538</v>
      </c>
      <c r="D356" s="31">
        <f t="shared" si="31"/>
        <v>2313.8287428649305</v>
      </c>
      <c r="E356" s="31">
        <f t="shared" si="32"/>
        <v>177.7279149106071</v>
      </c>
      <c r="F356" s="31">
        <f t="shared" si="33"/>
        <v>31219.74010819304</v>
      </c>
    </row>
    <row r="357" spans="1:6" x14ac:dyDescent="0.25">
      <c r="A357" s="30">
        <f t="shared" si="34"/>
        <v>348</v>
      </c>
      <c r="B357" s="31">
        <f t="shared" si="35"/>
        <v>31219.74010819304</v>
      </c>
      <c r="C357" s="31">
        <f t="shared" si="30"/>
        <v>2491.556657775538</v>
      </c>
      <c r="D357" s="31">
        <f t="shared" si="31"/>
        <v>2326.0920352021149</v>
      </c>
      <c r="E357" s="31">
        <f t="shared" si="32"/>
        <v>165.46462257342299</v>
      </c>
      <c r="F357" s="31">
        <f t="shared" si="33"/>
        <v>28893.648072990924</v>
      </c>
    </row>
    <row r="358" spans="1:6" x14ac:dyDescent="0.25">
      <c r="A358" s="30">
        <f t="shared" si="34"/>
        <v>349</v>
      </c>
      <c r="B358" s="31">
        <f t="shared" si="35"/>
        <v>28893.648072990924</v>
      </c>
      <c r="C358" s="31">
        <f t="shared" si="30"/>
        <v>2491.556657775538</v>
      </c>
      <c r="D358" s="31">
        <f t="shared" si="31"/>
        <v>2338.4203229886862</v>
      </c>
      <c r="E358" s="31">
        <f t="shared" si="32"/>
        <v>153.13633478685179</v>
      </c>
      <c r="F358" s="31">
        <f t="shared" si="33"/>
        <v>26555.227750002239</v>
      </c>
    </row>
    <row r="359" spans="1:6" x14ac:dyDescent="0.25">
      <c r="A359" s="30">
        <f t="shared" si="34"/>
        <v>350</v>
      </c>
      <c r="B359" s="31">
        <f t="shared" si="35"/>
        <v>26555.227750002239</v>
      </c>
      <c r="C359" s="31">
        <f t="shared" si="30"/>
        <v>2491.556657775538</v>
      </c>
      <c r="D359" s="31">
        <f t="shared" si="31"/>
        <v>2350.8139507005258</v>
      </c>
      <c r="E359" s="31">
        <f t="shared" si="32"/>
        <v>140.74270707501174</v>
      </c>
      <c r="F359" s="31">
        <f t="shared" si="33"/>
        <v>24204.413799301714</v>
      </c>
    </row>
    <row r="360" spans="1:6" x14ac:dyDescent="0.25">
      <c r="A360" s="30">
        <f t="shared" si="34"/>
        <v>351</v>
      </c>
      <c r="B360" s="31">
        <f t="shared" si="35"/>
        <v>24204.413799301714</v>
      </c>
      <c r="C360" s="31">
        <f t="shared" si="30"/>
        <v>2491.556657775538</v>
      </c>
      <c r="D360" s="31">
        <f t="shared" si="31"/>
        <v>2363.2732646392387</v>
      </c>
      <c r="E360" s="31">
        <f t="shared" si="32"/>
        <v>128.28339313629894</v>
      </c>
      <c r="F360" s="31">
        <f t="shared" si="33"/>
        <v>21841.140534662474</v>
      </c>
    </row>
    <row r="361" spans="1:6" x14ac:dyDescent="0.25">
      <c r="A361" s="30">
        <f t="shared" si="34"/>
        <v>352</v>
      </c>
      <c r="B361" s="31">
        <f t="shared" si="35"/>
        <v>21841.140534662474</v>
      </c>
      <c r="C361" s="31">
        <f t="shared" si="30"/>
        <v>2491.556657775538</v>
      </c>
      <c r="D361" s="31">
        <f t="shared" si="31"/>
        <v>2375.7986129418268</v>
      </c>
      <c r="E361" s="31">
        <f t="shared" si="32"/>
        <v>115.75804483371098</v>
      </c>
      <c r="F361" s="31">
        <f t="shared" si="33"/>
        <v>19465.341921720646</v>
      </c>
    </row>
    <row r="362" spans="1:6" x14ac:dyDescent="0.25">
      <c r="A362" s="30">
        <f t="shared" si="34"/>
        <v>353</v>
      </c>
      <c r="B362" s="31">
        <f t="shared" si="35"/>
        <v>19465.341921720646</v>
      </c>
      <c r="C362" s="31">
        <f t="shared" si="30"/>
        <v>2491.556657775538</v>
      </c>
      <c r="D362" s="31">
        <f t="shared" si="31"/>
        <v>2388.3903455904187</v>
      </c>
      <c r="E362" s="31">
        <f t="shared" si="32"/>
        <v>103.16631218511931</v>
      </c>
      <c r="F362" s="31">
        <f t="shared" si="33"/>
        <v>17076.951576130228</v>
      </c>
    </row>
    <row r="363" spans="1:6" x14ac:dyDescent="0.25">
      <c r="A363" s="30">
        <f t="shared" si="34"/>
        <v>354</v>
      </c>
      <c r="B363" s="31">
        <f t="shared" si="35"/>
        <v>17076.951576130228</v>
      </c>
      <c r="C363" s="31">
        <f t="shared" si="30"/>
        <v>2491.556657775538</v>
      </c>
      <c r="D363" s="31">
        <f t="shared" si="31"/>
        <v>2401.0488144220481</v>
      </c>
      <c r="E363" s="31">
        <f t="shared" si="32"/>
        <v>90.50784335349006</v>
      </c>
      <c r="F363" s="31">
        <f t="shared" si="33"/>
        <v>14675.902761708181</v>
      </c>
    </row>
    <row r="364" spans="1:6" x14ac:dyDescent="0.25">
      <c r="A364" s="30">
        <f t="shared" si="34"/>
        <v>355</v>
      </c>
      <c r="B364" s="31">
        <f t="shared" si="35"/>
        <v>14675.902761708181</v>
      </c>
      <c r="C364" s="31">
        <f t="shared" si="30"/>
        <v>2491.556657775538</v>
      </c>
      <c r="D364" s="31">
        <f t="shared" si="31"/>
        <v>2413.7743731384849</v>
      </c>
      <c r="E364" s="31">
        <f t="shared" si="32"/>
        <v>77.782284637053237</v>
      </c>
      <c r="F364" s="31">
        <f t="shared" si="33"/>
        <v>12262.128388569696</v>
      </c>
    </row>
    <row r="365" spans="1:6" x14ac:dyDescent="0.25">
      <c r="A365" s="30">
        <f t="shared" si="34"/>
        <v>356</v>
      </c>
      <c r="B365" s="31">
        <f t="shared" si="35"/>
        <v>12262.128388569696</v>
      </c>
      <c r="C365" s="31">
        <f t="shared" si="30"/>
        <v>2491.556657775538</v>
      </c>
      <c r="D365" s="31">
        <f t="shared" si="31"/>
        <v>2426.5673773161188</v>
      </c>
      <c r="E365" s="31">
        <f t="shared" si="32"/>
        <v>64.989280459419248</v>
      </c>
      <c r="F365" s="31">
        <f t="shared" si="33"/>
        <v>9835.561011253576</v>
      </c>
    </row>
    <row r="366" spans="1:6" x14ac:dyDescent="0.25">
      <c r="A366" s="30">
        <f t="shared" si="34"/>
        <v>357</v>
      </c>
      <c r="B366" s="31">
        <f t="shared" si="35"/>
        <v>9835.561011253576</v>
      </c>
      <c r="C366" s="31">
        <f t="shared" si="30"/>
        <v>2491.556657775538</v>
      </c>
      <c r="D366" s="31">
        <f t="shared" si="31"/>
        <v>2439.4281844158941</v>
      </c>
      <c r="E366" s="31">
        <f t="shared" si="32"/>
        <v>52.128473359643827</v>
      </c>
      <c r="F366" s="31">
        <f t="shared" si="33"/>
        <v>7396.1328268376819</v>
      </c>
    </row>
    <row r="367" spans="1:6" x14ac:dyDescent="0.25">
      <c r="A367" s="30">
        <f t="shared" si="34"/>
        <v>358</v>
      </c>
      <c r="B367" s="31">
        <f t="shared" si="35"/>
        <v>7396.1328268376819</v>
      </c>
      <c r="C367" s="31">
        <f t="shared" si="30"/>
        <v>2491.556657775538</v>
      </c>
      <c r="D367" s="31">
        <f t="shared" si="31"/>
        <v>2452.357153793298</v>
      </c>
      <c r="E367" s="31">
        <f t="shared" si="32"/>
        <v>39.199503982239591</v>
      </c>
      <c r="F367" s="31">
        <f t="shared" si="33"/>
        <v>4943.7756730443834</v>
      </c>
    </row>
    <row r="368" spans="1:6" x14ac:dyDescent="0.25">
      <c r="A368" s="30">
        <f t="shared" si="34"/>
        <v>359</v>
      </c>
      <c r="B368" s="31">
        <f t="shared" si="35"/>
        <v>4943.7756730443834</v>
      </c>
      <c r="C368" s="31">
        <f t="shared" si="30"/>
        <v>2491.556657775538</v>
      </c>
      <c r="D368" s="31">
        <f t="shared" si="31"/>
        <v>2465.3546467084025</v>
      </c>
      <c r="E368" s="31">
        <f t="shared" si="32"/>
        <v>26.202011067135107</v>
      </c>
      <c r="F368" s="31">
        <f t="shared" si="33"/>
        <v>2478.421026335981</v>
      </c>
    </row>
    <row r="369" spans="1:6" x14ac:dyDescent="0.25">
      <c r="A369" s="30">
        <f t="shared" si="34"/>
        <v>360</v>
      </c>
      <c r="B369" s="31">
        <f t="shared" si="35"/>
        <v>2478.421026335981</v>
      </c>
      <c r="C369" s="31">
        <f t="shared" si="30"/>
        <v>2491.556657775538</v>
      </c>
      <c r="D369" s="31">
        <f t="shared" si="31"/>
        <v>2478.4210263359573</v>
      </c>
      <c r="E369" s="31">
        <f t="shared" si="32"/>
        <v>13.135631439580575</v>
      </c>
      <c r="F369" s="31">
        <f t="shared" si="33"/>
        <v>2.3646862246096134E-11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"/>
  <sheetViews>
    <sheetView topLeftCell="A2" workbookViewId="0">
      <selection activeCell="A22" sqref="A22:C22"/>
    </sheetView>
  </sheetViews>
  <sheetFormatPr defaultRowHeight="15" x14ac:dyDescent="0.25"/>
  <cols>
    <col min="1" max="1" width="30" customWidth="1"/>
    <col min="2" max="2" width="22" customWidth="1"/>
    <col min="3" max="3" width="20" customWidth="1"/>
  </cols>
  <sheetData>
    <row r="1" spans="1:4" ht="27.95" customHeight="1" x14ac:dyDescent="0.25">
      <c r="A1" s="78" t="s">
        <v>178</v>
      </c>
      <c r="B1" s="61"/>
      <c r="C1" s="61"/>
      <c r="D1" s="61"/>
    </row>
    <row r="2" spans="1:4" ht="31.5" x14ac:dyDescent="0.25">
      <c r="A2" s="34" t="s">
        <v>179</v>
      </c>
    </row>
    <row r="3" spans="1:4" x14ac:dyDescent="0.25">
      <c r="A3" s="4" t="s">
        <v>131</v>
      </c>
      <c r="B3" s="16">
        <f>Assump_RemBal</f>
        <v>380000</v>
      </c>
    </row>
    <row r="4" spans="1:4" x14ac:dyDescent="0.25">
      <c r="A4" s="4" t="s">
        <v>133</v>
      </c>
      <c r="B4" s="18">
        <f>Assump_CurrRate</f>
        <v>7.0000000000000007E-2</v>
      </c>
    </row>
    <row r="5" spans="1:4" x14ac:dyDescent="0.25">
      <c r="A5" s="4" t="s">
        <v>135</v>
      </c>
      <c r="B5" s="18">
        <f>Assump_PropRate</f>
        <v>0.06</v>
      </c>
    </row>
    <row r="6" spans="1:4" x14ac:dyDescent="0.25">
      <c r="A6" s="4" t="s">
        <v>137</v>
      </c>
      <c r="B6" s="17">
        <f>Assump_RemTerm</f>
        <v>324</v>
      </c>
    </row>
    <row r="7" spans="1:4" x14ac:dyDescent="0.25">
      <c r="A7" s="4" t="s">
        <v>139</v>
      </c>
      <c r="B7" s="16">
        <f>Assump_ClosingCosts</f>
        <v>6000</v>
      </c>
    </row>
    <row r="8" spans="1:4" x14ac:dyDescent="0.25">
      <c r="A8" s="4" t="s">
        <v>141</v>
      </c>
      <c r="B8" s="17">
        <f>Assump_HoldPeriod</f>
        <v>60</v>
      </c>
    </row>
    <row r="12" spans="1:4" ht="15.75" x14ac:dyDescent="0.25">
      <c r="A12" s="6" t="s">
        <v>180</v>
      </c>
    </row>
    <row r="13" spans="1:4" x14ac:dyDescent="0.25">
      <c r="A13" s="4" t="s">
        <v>181</v>
      </c>
      <c r="B13" s="21">
        <f>IFERROR(PMT(Assump_CurrRate/12,Assump_RemTerm,-Assump_RemBal),"—")</f>
        <v>2613.696740116101</v>
      </c>
    </row>
    <row r="14" spans="1:4" x14ac:dyDescent="0.25">
      <c r="A14" s="4" t="s">
        <v>182</v>
      </c>
      <c r="B14" s="21">
        <f>IFERROR(PMT(Assump_PropRate/12,Assump_RemTerm,-Assump_RemBal),"—")</f>
        <v>2371.1443461628296</v>
      </c>
    </row>
    <row r="15" spans="1:4" x14ac:dyDescent="0.25">
      <c r="A15" s="4" t="s">
        <v>183</v>
      </c>
      <c r="B15" s="21">
        <f>IFERROR(B13-B14,"—")</f>
        <v>242.55239395327135</v>
      </c>
    </row>
    <row r="16" spans="1:4" x14ac:dyDescent="0.25">
      <c r="A16" s="4" t="s">
        <v>184</v>
      </c>
      <c r="B16" s="29">
        <f>IFERROR(IF(OR(NOT(ISNUMBER(B15)),B15&lt;=0),"No Savings — Refinance Not Beneficial",Assump_ClosingCosts/B15),"Error")</f>
        <v>24.736923442429198</v>
      </c>
    </row>
    <row r="17" spans="1:3" x14ac:dyDescent="0.25">
      <c r="A17" s="4" t="s">
        <v>141</v>
      </c>
      <c r="B17" s="17">
        <f>Assump_HoldPeriod</f>
        <v>60</v>
      </c>
    </row>
    <row r="18" spans="1:3" x14ac:dyDescent="0.25">
      <c r="A18" s="4" t="s">
        <v>185</v>
      </c>
      <c r="B18" s="16">
        <f>IFERROR(IF(ISNUMBER(B15),B15*Assump_HoldPeriod,"—"),"—")</f>
        <v>14553.143637196281</v>
      </c>
    </row>
    <row r="19" spans="1:3" x14ac:dyDescent="0.25">
      <c r="A19" s="4" t="s">
        <v>186</v>
      </c>
      <c r="B19" s="16">
        <f>IFERROR(IF(ISNUMBER(B18),B18-Assump_ClosingCosts,"—"),"—")</f>
        <v>8553.1436371962809</v>
      </c>
    </row>
    <row r="21" spans="1:3" ht="18.75" x14ac:dyDescent="0.25">
      <c r="A21" s="79" t="s">
        <v>201</v>
      </c>
      <c r="B21" s="80"/>
      <c r="C21" s="80"/>
    </row>
    <row r="22" spans="1:3" ht="15" customHeight="1" x14ac:dyDescent="0.25">
      <c r="A22" s="81" t="str">
        <f>IF(OR(NOT(ISNUMBER(B15)),B15&lt;=0),"No Savings — Refinance Not Beneficial",IF(ISNUMBER(B16),IF(B16&lt;=Assump_HoldPeriod,"Refinance Makes Sense","Does Not Break Even in Holding Period"),"No Savings — Refinance Not Beneficial"))</f>
        <v>Refinance Makes Sense</v>
      </c>
      <c r="B22" s="82" t="str">
        <f>IF(OR(NOT(ISNUMBER(B15)),B15&lt;=0),"No Savings — Refinance Not Beneficial",IF(ISNUMBER(B16),IF(B16&lt;=Assump_HoldPeriod,"Refinance Makes Sense","Does Not Break Even in Holding Period"),"No Savings — Refinance Not Beneficial"))</f>
        <v>Refinance Makes Sense</v>
      </c>
      <c r="C22" s="81"/>
    </row>
  </sheetData>
  <mergeCells count="3">
    <mergeCell ref="A1:D1"/>
    <mergeCell ref="A21:C21"/>
    <mergeCell ref="A22:C22"/>
  </mergeCells>
  <conditionalFormatting sqref="A22">
    <cfRule type="expression" dxfId="17" priority="1">
      <formula>A22="Refinance Makes Sense"</formula>
    </cfRule>
    <cfRule type="expression" dxfId="16" priority="2">
      <formula>ISNUMBER(SEARCH("Does Not Break Even",A22))</formula>
    </cfRule>
    <cfRule type="expression" dxfId="15" priority="3">
      <formula>ISNUMBER(SEARCH("No Savings",A22))</formula>
    </cfRule>
    <cfRule type="expression" dxfId="14" priority="4">
      <formula>A22="Refinance Makes Sense"</formula>
    </cfRule>
    <cfRule type="expression" dxfId="13" priority="5">
      <formula>ISNUMBER(SEARCH("Does Not Break Even",A22))</formula>
    </cfRule>
    <cfRule type="expression" dxfId="12" priority="6">
      <formula>ISNUMBER(SEARCH("No Savings",A22))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62"/>
  <sheetViews>
    <sheetView zoomScaleNormal="100" workbookViewId="0">
      <selection activeCell="T1" sqref="T1"/>
    </sheetView>
  </sheetViews>
  <sheetFormatPr defaultRowHeight="15" x14ac:dyDescent="0.25"/>
  <cols>
    <col min="1" max="1" width="17.140625" customWidth="1"/>
    <col min="17" max="17" width="10.85546875" customWidth="1"/>
    <col min="18" max="18" width="16.5703125" customWidth="1"/>
    <col min="19" max="19" width="12.42578125" customWidth="1"/>
    <col min="20" max="20" width="13.85546875" customWidth="1"/>
    <col min="21" max="21" width="17.28515625" customWidth="1"/>
    <col min="22" max="22" width="10.28515625" customWidth="1"/>
    <col min="23" max="23" width="14.5703125" customWidth="1"/>
    <col min="24" max="24" width="14" customWidth="1"/>
    <col min="25" max="25" width="20.5703125" customWidth="1"/>
    <col min="26" max="26" width="14.7109375" customWidth="1"/>
    <col min="27" max="27" width="15.140625" customWidth="1"/>
    <col min="28" max="28" width="8.85546875" customWidth="1"/>
  </cols>
  <sheetData>
    <row r="1" spans="1:27" ht="36" customHeight="1" x14ac:dyDescent="0.25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45" t="s">
        <v>111</v>
      </c>
      <c r="R1" s="54" t="s">
        <v>202</v>
      </c>
      <c r="S1" s="46" t="s">
        <v>203</v>
      </c>
      <c r="T1" s="45" t="s">
        <v>147</v>
      </c>
      <c r="U1" s="52" t="s">
        <v>150</v>
      </c>
      <c r="V1" s="52" t="s">
        <v>204</v>
      </c>
      <c r="W1" s="52" t="s">
        <v>154</v>
      </c>
      <c r="X1" s="53" t="s">
        <v>149</v>
      </c>
      <c r="Y1" s="47" t="s">
        <v>205</v>
      </c>
      <c r="Z1" s="52" t="s">
        <v>153</v>
      </c>
      <c r="AA1" s="45" t="s">
        <v>148</v>
      </c>
    </row>
    <row r="2" spans="1:27" x14ac:dyDescent="0.25">
      <c r="Q2">
        <v>1971</v>
      </c>
      <c r="R2">
        <f>SUMIFS(Rate_Data!$B:$B,Rate_Data!$D:$D,Q2)/COUNTIFS(Rate_Data!$D:$D,Q2)</f>
        <v>7.5417500000000022</v>
      </c>
      <c r="S2">
        <f>Rate_Data!$H$2</f>
        <v>6.36</v>
      </c>
      <c r="T2" t="str">
        <f>Rate_Shock_Model!A11</f>
        <v>Rate −1.00%</v>
      </c>
      <c r="U2">
        <f>Rate_Shock_Model!D11</f>
        <v>2236.1458837595983</v>
      </c>
      <c r="V2">
        <f>Rate_Shock_Model!F11</f>
        <v>405012.51815345534</v>
      </c>
      <c r="W2">
        <f>Rate_Shock_Model!H11</f>
        <v>447198.01479083864</v>
      </c>
      <c r="X2">
        <f>Rate_Shock_Model!C11</f>
        <v>5.3600000000000002E-2</v>
      </c>
      <c r="Y2">
        <f>Rate_Shock_Model!E11</f>
        <v>-255.41077401593975</v>
      </c>
      <c r="Z2">
        <f>Rate_Shock_Model!G11</f>
        <v>805012.51815345534</v>
      </c>
      <c r="AA2">
        <f>Rate_Shock_Model!B11</f>
        <v>-0.01</v>
      </c>
    </row>
    <row r="3" spans="1:27" x14ac:dyDescent="0.2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>
        <v>1972</v>
      </c>
      <c r="R3">
        <f>SUMIFS(Rate_Data!$B:$B,Rate_Data!$D:$D,Q3)/COUNTIFS(Rate_Data!$D:$D,Q3)</f>
        <v>7.3832692307692342</v>
      </c>
      <c r="S3">
        <f>Rate_Data!$H$2</f>
        <v>6.36</v>
      </c>
      <c r="T3" t="str">
        <f>Rate_Shock_Model!A12</f>
        <v>Rate −0.50%</v>
      </c>
      <c r="U3">
        <f>Rate_Shock_Model!D12</f>
        <v>2362.3177430506253</v>
      </c>
      <c r="V3">
        <f>Rate_Shock_Model!F12</f>
        <v>450434.38749822509</v>
      </c>
      <c r="W3">
        <f>Rate_Shock_Model!H12</f>
        <v>423313.08010607847</v>
      </c>
      <c r="X3">
        <f>Rate_Shock_Model!C12</f>
        <v>5.8600000000000006E-2</v>
      </c>
      <c r="Y3">
        <f>Rate_Shock_Model!E12</f>
        <v>-129.23891472491277</v>
      </c>
      <c r="Z3">
        <f>Rate_Shock_Model!G12</f>
        <v>850434.38749822509</v>
      </c>
      <c r="AA3">
        <f>Rate_Shock_Model!B12</f>
        <v>-5.0000000000000001E-3</v>
      </c>
    </row>
    <row r="4" spans="1:27" x14ac:dyDescent="0.25">
      <c r="A4" s="63" t="s">
        <v>187</v>
      </c>
      <c r="B4" s="61"/>
      <c r="C4" s="61"/>
      <c r="D4" s="63" t="s">
        <v>188</v>
      </c>
      <c r="E4" s="61"/>
      <c r="F4" s="61"/>
      <c r="G4" s="63" t="s">
        <v>152</v>
      </c>
      <c r="H4" s="61"/>
      <c r="I4" s="61"/>
      <c r="J4" s="63" t="str">
        <f>"Affordable Loan @ $"&amp;TEXT(Assump_Budget,"#,##0")&amp;"/mo"</f>
        <v>Affordable Loan @ $2,500/mo</v>
      </c>
      <c r="K4" s="68"/>
      <c r="L4" s="68"/>
      <c r="M4" s="63" t="s">
        <v>189</v>
      </c>
      <c r="N4" s="61"/>
      <c r="O4" s="61"/>
      <c r="P4" s="61"/>
      <c r="Q4">
        <v>1973</v>
      </c>
      <c r="R4">
        <f>SUMIFS(Rate_Data!$B:$B,Rate_Data!$D:$D,Q4)/COUNTIFS(Rate_Data!$D:$D,Q4)</f>
        <v>8.044807692307689</v>
      </c>
      <c r="S4">
        <f>Rate_Data!$H$2</f>
        <v>6.36</v>
      </c>
      <c r="T4" t="str">
        <f>Rate_Shock_Model!A13</f>
        <v>Base Case</v>
      </c>
      <c r="U4">
        <f>Rate_Shock_Model!D13</f>
        <v>2491.556657775538</v>
      </c>
      <c r="V4">
        <f>Rate_Shock_Model!F13</f>
        <v>496960.3967991937</v>
      </c>
      <c r="W4">
        <f>Rate_Shock_Model!H13</f>
        <v>401355.51277923072</v>
      </c>
      <c r="X4">
        <f>Rate_Shock_Model!C13</f>
        <v>6.3600000000000004E-2</v>
      </c>
      <c r="Y4">
        <f>Rate_Shock_Model!E13</f>
        <v>0</v>
      </c>
      <c r="Z4">
        <f>Rate_Shock_Model!G13</f>
        <v>896960.3967991937</v>
      </c>
      <c r="AA4">
        <f>Rate_Shock_Model!B13</f>
        <v>0</v>
      </c>
    </row>
    <row r="5" spans="1:27" x14ac:dyDescent="0.25">
      <c r="A5" s="64" t="str">
        <f>TEXT(Rate_Data!H2,"0.00")&amp;"%"</f>
        <v>6.36%</v>
      </c>
      <c r="B5" s="61"/>
      <c r="C5" s="61"/>
      <c r="D5" s="67">
        <f>RSM_BasePayment</f>
        <v>2491.556657775538</v>
      </c>
      <c r="E5" s="61"/>
      <c r="F5" s="61"/>
      <c r="G5" s="69">
        <f>RSM_BaseTotalInterest</f>
        <v>496960.3967991937</v>
      </c>
      <c r="H5" s="61"/>
      <c r="I5" s="61"/>
      <c r="J5" s="69">
        <f>RSM_BaseAffordable</f>
        <v>401355.51277923072</v>
      </c>
      <c r="K5" s="61"/>
      <c r="L5" s="61"/>
      <c r="M5" s="64" t="str">
        <f>IF(ISNUMBER(Refi_BreakEvenMos),TEXT(Refi_BreakEvenMos,"0.0")&amp;" months","N/A")</f>
        <v>24.7 months</v>
      </c>
      <c r="N5" s="61"/>
      <c r="O5" s="61"/>
      <c r="P5" s="61"/>
      <c r="Q5">
        <v>1974</v>
      </c>
      <c r="R5">
        <f>SUMIFS(Rate_Data!$B:$B,Rate_Data!$D:$D,Q5)/COUNTIFS(Rate_Data!$D:$D,Q5)</f>
        <v>9.1871153846153852</v>
      </c>
      <c r="S5">
        <f>Rate_Data!$H$2</f>
        <v>6.36</v>
      </c>
      <c r="T5" t="str">
        <f>Rate_Shock_Model!A14</f>
        <v>Rate +0.50%</v>
      </c>
      <c r="U5">
        <f>Rate_Shock_Model!D14</f>
        <v>2623.707387717272</v>
      </c>
      <c r="V5">
        <f>Rate_Shock_Model!F14</f>
        <v>544534.65957821789</v>
      </c>
      <c r="W5">
        <f>Rate_Shock_Model!H14</f>
        <v>381140.06336279528</v>
      </c>
      <c r="X5">
        <f>Rate_Shock_Model!C14</f>
        <v>6.8600000000000008E-2</v>
      </c>
      <c r="Y5">
        <f>Rate_Shock_Model!E14</f>
        <v>132.15072994173397</v>
      </c>
      <c r="Z5">
        <f>Rate_Shock_Model!G14</f>
        <v>944534.65957821789</v>
      </c>
      <c r="AA5">
        <f>Rate_Shock_Model!B14</f>
        <v>5.0000000000000001E-3</v>
      </c>
    </row>
    <row r="6" spans="1:27" x14ac:dyDescent="0.25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>
        <v>1975</v>
      </c>
      <c r="R6">
        <f>SUMIFS(Rate_Data!$B:$B,Rate_Data!$D:$D,Q6)/COUNTIFS(Rate_Data!$D:$D,Q6)</f>
        <v>9.0471153846153829</v>
      </c>
      <c r="S6">
        <f>Rate_Data!$H$2</f>
        <v>6.36</v>
      </c>
      <c r="T6" t="str">
        <f>Rate_Shock_Model!A15</f>
        <v>Rate +1.00%</v>
      </c>
      <c r="U6">
        <f>Rate_Shock_Model!D15</f>
        <v>2758.6125331066632</v>
      </c>
      <c r="V6">
        <f>Rate_Shock_Model!F15</f>
        <v>593100.51191839878</v>
      </c>
      <c r="W6">
        <f>Rate_Shock_Model!H15</f>
        <v>362501.07182462222</v>
      </c>
      <c r="X6">
        <f>Rate_Shock_Model!C15</f>
        <v>7.3599999999999999E-2</v>
      </c>
      <c r="Y6">
        <f>Rate_Shock_Model!E15</f>
        <v>267.05587533112521</v>
      </c>
      <c r="Z6">
        <f>Rate_Shock_Model!G15</f>
        <v>993100.51191839878</v>
      </c>
      <c r="AA6">
        <f>Rate_Shock_Model!B15</f>
        <v>0.01</v>
      </c>
    </row>
    <row r="7" spans="1:27" x14ac:dyDescent="0.2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>
        <v>1976</v>
      </c>
      <c r="R7">
        <f>SUMIFS(Rate_Data!$B:$B,Rate_Data!$D:$D,Q7)/COUNTIFS(Rate_Data!$D:$D,Q7)</f>
        <v>8.8658490566037749</v>
      </c>
      <c r="S7">
        <f>Rate_Data!$H$2</f>
        <v>6.36</v>
      </c>
      <c r="T7" t="str">
        <f>Rate_Shock_Model!A16</f>
        <v>Rate +1.50%</v>
      </c>
      <c r="U7">
        <f>Rate_Shock_Model!D16</f>
        <v>2896.1140570391472</v>
      </c>
      <c r="V7">
        <f>Rate_Shock_Model!F16</f>
        <v>642601.06053409295</v>
      </c>
      <c r="W7">
        <f>Rate_Shock_Model!H16</f>
        <v>345290.26837511855</v>
      </c>
      <c r="X7">
        <f>Rate_Shock_Model!C16</f>
        <v>7.8600000000000003E-2</v>
      </c>
      <c r="Y7">
        <f>Rate_Shock_Model!E16</f>
        <v>404.55739926360911</v>
      </c>
      <c r="Z7">
        <f>Rate_Shock_Model!G16</f>
        <v>1042601.0605340929</v>
      </c>
      <c r="AA7">
        <f>Rate_Shock_Model!B16</f>
        <v>1.4999999999999999E-2</v>
      </c>
    </row>
    <row r="8" spans="1:27" x14ac:dyDescent="0.25">
      <c r="A8" s="62" t="str">
        <f>"Source: FRED · "&amp;TEXT(MAX(Rate_Data!A:A),"MMM D, YYYY")</f>
        <v>Source: FRED · May 14, 2026</v>
      </c>
      <c r="B8" s="61"/>
      <c r="C8" s="61"/>
      <c r="D8" s="62" t="str">
        <f>"$"&amp;TEXT(Assump_LoanAmt/1000,"#,##0")&amp;"K loan · 30 yrs · "&amp;TEXT(Assump_BaseRate,"0.00%")</f>
        <v>$400K loan · 30 yrs · 6.36%</v>
      </c>
      <c r="E8" s="61"/>
      <c r="F8" s="61"/>
      <c r="G8" s="62" t="s">
        <v>190</v>
      </c>
      <c r="H8" s="61"/>
      <c r="I8" s="61"/>
      <c r="J8" s="62" t="s">
        <v>191</v>
      </c>
      <c r="K8" s="61"/>
      <c r="L8" s="61"/>
      <c r="M8" s="62" t="str">
        <f>TEXT(Assump_CurrRate,"0.00%")&amp;" → "&amp;TEXT(Assump_PropRate,"0.00%")&amp;" · $"&amp;TEXT(Assump_ClosingCosts/1000,"#,##0")&amp;"K closing"</f>
        <v>7.00% → 6.00% · $6K closing</v>
      </c>
      <c r="N8" s="61"/>
      <c r="O8" s="61"/>
      <c r="P8" s="61"/>
      <c r="Q8">
        <v>1977</v>
      </c>
      <c r="R8">
        <f>SUMIFS(Rate_Data!$B:$B,Rate_Data!$D:$D,Q8)/COUNTIFS(Rate_Data!$D:$D,Q8)</f>
        <v>8.8451923076923045</v>
      </c>
      <c r="S8">
        <f>Rate_Data!$H$2</f>
        <v>6.36</v>
      </c>
    </row>
    <row r="9" spans="1:27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65" t="str">
        <f>Refinance_Analysis!B22</f>
        <v>Refinance Makes Sense</v>
      </c>
      <c r="N9" s="66"/>
      <c r="O9" s="66"/>
      <c r="P9" s="66"/>
      <c r="Q9">
        <v>1978</v>
      </c>
      <c r="R9">
        <f>SUMIFS(Rate_Data!$B:$B,Rate_Data!$D:$D,Q9)/COUNTIFS(Rate_Data!$D:$D,Q9)</f>
        <v>9.6417307692307688</v>
      </c>
      <c r="S9">
        <f>Rate_Data!$H$2</f>
        <v>6.36</v>
      </c>
    </row>
    <row r="10" spans="1:27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66"/>
      <c r="N10" s="66"/>
      <c r="O10" s="66"/>
      <c r="P10" s="66"/>
      <c r="Q10">
        <v>1979</v>
      </c>
      <c r="R10">
        <f>SUMIFS(Rate_Data!$B:$B,Rate_Data!$D:$D,Q10)/COUNTIFS(Rate_Data!$D:$D,Q10)</f>
        <v>11.203653846153845</v>
      </c>
      <c r="S10">
        <f>Rate_Data!$H$2</f>
        <v>6.36</v>
      </c>
    </row>
    <row r="11" spans="1:27" x14ac:dyDescent="0.25">
      <c r="Q11">
        <v>1980</v>
      </c>
      <c r="R11">
        <f>SUMIFS(Rate_Data!$B:$B,Rate_Data!$D:$D,Q11)/COUNTIFS(Rate_Data!$D:$D,Q11)</f>
        <v>13.742115384615385</v>
      </c>
      <c r="S11">
        <f>Rate_Data!$H$2</f>
        <v>6.36</v>
      </c>
    </row>
    <row r="12" spans="1:27" x14ac:dyDescent="0.25">
      <c r="A12" s="33"/>
      <c r="I12" s="33"/>
      <c r="Q12">
        <v>1981</v>
      </c>
      <c r="R12">
        <f>SUMIFS(Rate_Data!$B:$B,Rate_Data!$D:$D,Q12)/COUNTIFS(Rate_Data!$D:$D,Q12)</f>
        <v>16.641509433962266</v>
      </c>
      <c r="S12">
        <f>Rate_Data!$H$2</f>
        <v>6.36</v>
      </c>
    </row>
    <row r="13" spans="1:27" x14ac:dyDescent="0.25">
      <c r="Q13">
        <v>1982</v>
      </c>
      <c r="R13">
        <f>SUMIFS(Rate_Data!$B:$B,Rate_Data!$D:$D,Q13)/COUNTIFS(Rate_Data!$D:$D,Q13)</f>
        <v>16.043653846153848</v>
      </c>
      <c r="S13">
        <f>Rate_Data!$H$2</f>
        <v>6.36</v>
      </c>
    </row>
    <row r="14" spans="1:27" x14ac:dyDescent="0.25">
      <c r="Q14">
        <v>1983</v>
      </c>
      <c r="R14">
        <f>SUMIFS(Rate_Data!$B:$B,Rate_Data!$D:$D,Q14)/COUNTIFS(Rate_Data!$D:$D,Q14)</f>
        <v>13.235384615384609</v>
      </c>
      <c r="S14">
        <f>Rate_Data!$H$2</f>
        <v>6.36</v>
      </c>
    </row>
    <row r="15" spans="1:27" x14ac:dyDescent="0.25">
      <c r="Q15">
        <v>1984</v>
      </c>
      <c r="R15">
        <f>SUMIFS(Rate_Data!$B:$B,Rate_Data!$D:$D,Q15)/COUNTIFS(Rate_Data!$D:$D,Q15)</f>
        <v>13.877692307692307</v>
      </c>
      <c r="S15">
        <f>Rate_Data!$H$2</f>
        <v>6.36</v>
      </c>
    </row>
    <row r="16" spans="1:27" x14ac:dyDescent="0.25">
      <c r="Q16">
        <v>1985</v>
      </c>
      <c r="R16">
        <f>SUMIFS(Rate_Data!$B:$B,Rate_Data!$D:$D,Q16)/COUNTIFS(Rate_Data!$D:$D,Q16)</f>
        <v>12.430192307692305</v>
      </c>
      <c r="S16">
        <f>Rate_Data!$H$2</f>
        <v>6.36</v>
      </c>
    </row>
    <row r="17" spans="1:19" x14ac:dyDescent="0.25">
      <c r="Q17">
        <v>1986</v>
      </c>
      <c r="R17">
        <f>SUMIFS(Rate_Data!$B:$B,Rate_Data!$D:$D,Q17)/COUNTIFS(Rate_Data!$D:$D,Q17)</f>
        <v>10.187307692307691</v>
      </c>
      <c r="S17">
        <f>Rate_Data!$H$2</f>
        <v>6.36</v>
      </c>
    </row>
    <row r="18" spans="1:19" x14ac:dyDescent="0.25">
      <c r="Q18">
        <v>1987</v>
      </c>
      <c r="R18">
        <f>SUMIFS(Rate_Data!$B:$B,Rate_Data!$D:$D,Q18)/COUNTIFS(Rate_Data!$D:$D,Q18)</f>
        <v>10.213396226415098</v>
      </c>
      <c r="S18">
        <f>Rate_Data!$H$2</f>
        <v>6.36</v>
      </c>
    </row>
    <row r="19" spans="1:19" x14ac:dyDescent="0.25">
      <c r="Q19">
        <v>1988</v>
      </c>
      <c r="R19">
        <f>SUMIFS(Rate_Data!$B:$B,Rate_Data!$D:$D,Q19)/COUNTIFS(Rate_Data!$D:$D,Q19)</f>
        <v>10.341730769230766</v>
      </c>
      <c r="S19">
        <f>Rate_Data!$H$2</f>
        <v>6.36</v>
      </c>
    </row>
    <row r="20" spans="1:19" x14ac:dyDescent="0.25">
      <c r="Q20">
        <v>1989</v>
      </c>
      <c r="R20">
        <f>SUMIFS(Rate_Data!$B:$B,Rate_Data!$D:$D,Q20)/COUNTIFS(Rate_Data!$D:$D,Q20)</f>
        <v>10.319423076923076</v>
      </c>
      <c r="S20">
        <f>Rate_Data!$H$2</f>
        <v>6.36</v>
      </c>
    </row>
    <row r="21" spans="1:19" x14ac:dyDescent="0.25">
      <c r="Q21">
        <v>1990</v>
      </c>
      <c r="R21">
        <f>SUMIFS(Rate_Data!$B:$B,Rate_Data!$D:$D,Q21)/COUNTIFS(Rate_Data!$D:$D,Q21)</f>
        <v>10.129423076923077</v>
      </c>
      <c r="S21">
        <f>Rate_Data!$H$2</f>
        <v>6.36</v>
      </c>
    </row>
    <row r="22" spans="1:19" x14ac:dyDescent="0.25">
      <c r="Q22">
        <v>1991</v>
      </c>
      <c r="R22">
        <f>SUMIFS(Rate_Data!$B:$B,Rate_Data!$D:$D,Q22)/COUNTIFS(Rate_Data!$D:$D,Q22)</f>
        <v>9.24653846153846</v>
      </c>
      <c r="S22">
        <f>Rate_Data!$H$2</f>
        <v>6.36</v>
      </c>
    </row>
    <row r="23" spans="1:19" x14ac:dyDescent="0.25">
      <c r="Q23">
        <v>1992</v>
      </c>
      <c r="R23">
        <f>SUMIFS(Rate_Data!$B:$B,Rate_Data!$D:$D,Q23)/COUNTIFS(Rate_Data!$D:$D,Q23)</f>
        <v>8.3901886792452807</v>
      </c>
      <c r="S23">
        <f>Rate_Data!$H$2</f>
        <v>6.36</v>
      </c>
    </row>
    <row r="24" spans="1:19" x14ac:dyDescent="0.25">
      <c r="Q24">
        <v>1993</v>
      </c>
      <c r="R24">
        <f>SUMIFS(Rate_Data!$B:$B,Rate_Data!$D:$D,Q24)/COUNTIFS(Rate_Data!$D:$D,Q24)</f>
        <v>7.314615384615383</v>
      </c>
      <c r="S24">
        <f>Rate_Data!$H$2</f>
        <v>6.36</v>
      </c>
    </row>
    <row r="25" spans="1:19" x14ac:dyDescent="0.25">
      <c r="Q25">
        <v>1994</v>
      </c>
      <c r="R25">
        <f>SUMIFS(Rate_Data!$B:$B,Rate_Data!$D:$D,Q25)/COUNTIFS(Rate_Data!$D:$D,Q25)</f>
        <v>8.3807692307692339</v>
      </c>
      <c r="S25">
        <f>Rate_Data!$H$2</f>
        <v>6.36</v>
      </c>
    </row>
    <row r="26" spans="1:19" x14ac:dyDescent="0.25">
      <c r="Q26">
        <v>1995</v>
      </c>
      <c r="R26">
        <f>SUMIFS(Rate_Data!$B:$B,Rate_Data!$D:$D,Q26)/COUNTIFS(Rate_Data!$D:$D,Q26)</f>
        <v>7.9346153846153848</v>
      </c>
      <c r="S26">
        <f>Rate_Data!$H$2</f>
        <v>6.36</v>
      </c>
    </row>
    <row r="27" spans="1:19" x14ac:dyDescent="0.25">
      <c r="Q27">
        <v>1996</v>
      </c>
      <c r="R27">
        <f>SUMIFS(Rate_Data!$B:$B,Rate_Data!$D:$D,Q27)/COUNTIFS(Rate_Data!$D:$D,Q27)</f>
        <v>7.806153846153844</v>
      </c>
      <c r="S27">
        <f>Rate_Data!$H$2</f>
        <v>6.36</v>
      </c>
    </row>
    <row r="28" spans="1:19" x14ac:dyDescent="0.25">
      <c r="Q28">
        <v>1997</v>
      </c>
      <c r="R28">
        <f>SUMIFS(Rate_Data!$B:$B,Rate_Data!$D:$D,Q28)/COUNTIFS(Rate_Data!$D:$D,Q28)</f>
        <v>7.5988461538461527</v>
      </c>
      <c r="S28">
        <f>Rate_Data!$H$2</f>
        <v>6.36</v>
      </c>
    </row>
    <row r="29" spans="1:19" x14ac:dyDescent="0.25">
      <c r="Q29">
        <v>1998</v>
      </c>
      <c r="R29">
        <f>SUMIFS(Rate_Data!$B:$B,Rate_Data!$D:$D,Q29)/COUNTIFS(Rate_Data!$D:$D,Q29)</f>
        <v>6.94264150943396</v>
      </c>
      <c r="S29">
        <f>Rate_Data!$H$2</f>
        <v>6.36</v>
      </c>
    </row>
    <row r="30" spans="1:19" x14ac:dyDescent="0.25">
      <c r="Q30">
        <v>1999</v>
      </c>
      <c r="R30">
        <f>SUMIFS(Rate_Data!$B:$B,Rate_Data!$D:$D,Q30)/COUNTIFS(Rate_Data!$D:$D,Q30)</f>
        <v>7.4399999999999986</v>
      </c>
      <c r="S30">
        <f>Rate_Data!$H$2</f>
        <v>6.36</v>
      </c>
    </row>
    <row r="31" spans="1:19" x14ac:dyDescent="0.25">
      <c r="Q31">
        <v>2000</v>
      </c>
      <c r="R31">
        <f>SUMIFS(Rate_Data!$B:$B,Rate_Data!$D:$D,Q31)/COUNTIFS(Rate_Data!$D:$D,Q31)</f>
        <v>8.0534615384615389</v>
      </c>
      <c r="S31">
        <f>Rate_Data!$H$2</f>
        <v>6.36</v>
      </c>
    </row>
    <row r="32" spans="1:19" x14ac:dyDescent="0.25">
      <c r="A32" s="33"/>
      <c r="I32" s="33"/>
      <c r="Q32">
        <v>2001</v>
      </c>
      <c r="R32">
        <f>SUMIFS(Rate_Data!$B:$B,Rate_Data!$D:$D,Q32)/COUNTIFS(Rate_Data!$D:$D,Q32)</f>
        <v>6.9678846153846141</v>
      </c>
      <c r="S32">
        <f>Rate_Data!$H$2</f>
        <v>6.36</v>
      </c>
    </row>
    <row r="33" spans="17:19" x14ac:dyDescent="0.25">
      <c r="Q33">
        <v>2002</v>
      </c>
      <c r="R33">
        <f>SUMIFS(Rate_Data!$B:$B,Rate_Data!$D:$D,Q33)/COUNTIFS(Rate_Data!$D:$D,Q33)</f>
        <v>6.5373076923076923</v>
      </c>
      <c r="S33">
        <f>Rate_Data!$H$2</f>
        <v>6.36</v>
      </c>
    </row>
    <row r="34" spans="17:19" x14ac:dyDescent="0.25">
      <c r="Q34">
        <v>2003</v>
      </c>
      <c r="R34">
        <f>SUMIFS(Rate_Data!$B:$B,Rate_Data!$D:$D,Q34)/COUNTIFS(Rate_Data!$D:$D,Q34)</f>
        <v>5.8269811320754714</v>
      </c>
      <c r="S34">
        <f>Rate_Data!$H$2</f>
        <v>6.36</v>
      </c>
    </row>
    <row r="35" spans="17:19" x14ac:dyDescent="0.25">
      <c r="Q35">
        <v>2004</v>
      </c>
      <c r="R35">
        <f>SUMIFS(Rate_Data!$B:$B,Rate_Data!$D:$D,Q35)/COUNTIFS(Rate_Data!$D:$D,Q35)</f>
        <v>5.8392307692307703</v>
      </c>
      <c r="S35">
        <f>Rate_Data!$H$2</f>
        <v>6.36</v>
      </c>
    </row>
    <row r="36" spans="17:19" x14ac:dyDescent="0.25">
      <c r="Q36">
        <v>2005</v>
      </c>
      <c r="R36">
        <f>SUMIFS(Rate_Data!$B:$B,Rate_Data!$D:$D,Q36)/COUNTIFS(Rate_Data!$D:$D,Q36)</f>
        <v>5.8667307692307693</v>
      </c>
      <c r="S36">
        <f>Rate_Data!$H$2</f>
        <v>6.36</v>
      </c>
    </row>
    <row r="37" spans="17:19" x14ac:dyDescent="0.25">
      <c r="Q37">
        <v>2006</v>
      </c>
      <c r="R37">
        <f>SUMIFS(Rate_Data!$B:$B,Rate_Data!$D:$D,Q37)/COUNTIFS(Rate_Data!$D:$D,Q37)</f>
        <v>6.4132692307692309</v>
      </c>
      <c r="S37">
        <f>Rate_Data!$H$2</f>
        <v>6.36</v>
      </c>
    </row>
    <row r="38" spans="17:19" x14ac:dyDescent="0.25">
      <c r="Q38">
        <v>2007</v>
      </c>
      <c r="R38">
        <f>SUMIFS(Rate_Data!$B:$B,Rate_Data!$D:$D,Q38)/COUNTIFS(Rate_Data!$D:$D,Q38)</f>
        <v>6.3373076923076903</v>
      </c>
      <c r="S38">
        <f>Rate_Data!$H$2</f>
        <v>6.36</v>
      </c>
    </row>
    <row r="39" spans="17:19" x14ac:dyDescent="0.25">
      <c r="Q39">
        <v>2008</v>
      </c>
      <c r="R39">
        <f>SUMIFS(Rate_Data!$B:$B,Rate_Data!$D:$D,Q39)/COUNTIFS(Rate_Data!$D:$D,Q39)</f>
        <v>6.0271698113207544</v>
      </c>
      <c r="S39">
        <f>Rate_Data!$H$2</f>
        <v>6.36</v>
      </c>
    </row>
    <row r="40" spans="17:19" x14ac:dyDescent="0.25">
      <c r="Q40">
        <v>2009</v>
      </c>
      <c r="R40">
        <f>SUMIFS(Rate_Data!$B:$B,Rate_Data!$D:$D,Q40)/COUNTIFS(Rate_Data!$D:$D,Q40)</f>
        <v>5.0365384615384601</v>
      </c>
      <c r="S40">
        <f>Rate_Data!$H$2</f>
        <v>6.36</v>
      </c>
    </row>
    <row r="41" spans="17:19" x14ac:dyDescent="0.25">
      <c r="Q41">
        <v>2010</v>
      </c>
      <c r="R41">
        <f>SUMIFS(Rate_Data!$B:$B,Rate_Data!$D:$D,Q41)/COUNTIFS(Rate_Data!$D:$D,Q41)</f>
        <v>4.689807692307693</v>
      </c>
      <c r="S41">
        <f>Rate_Data!$H$2</f>
        <v>6.36</v>
      </c>
    </row>
    <row r="42" spans="17:19" x14ac:dyDescent="0.25">
      <c r="Q42">
        <v>2011</v>
      </c>
      <c r="R42">
        <f>SUMIFS(Rate_Data!$B:$B,Rate_Data!$D:$D,Q42)/COUNTIFS(Rate_Data!$D:$D,Q42)</f>
        <v>4.4478846153846145</v>
      </c>
      <c r="S42">
        <f>Rate_Data!$H$2</f>
        <v>6.36</v>
      </c>
    </row>
    <row r="43" spans="17:19" x14ac:dyDescent="0.25">
      <c r="Q43">
        <v>2012</v>
      </c>
      <c r="R43">
        <f>SUMIFS(Rate_Data!$B:$B,Rate_Data!$D:$D,Q43)/COUNTIFS(Rate_Data!$D:$D,Q43)</f>
        <v>3.6575000000000011</v>
      </c>
      <c r="S43">
        <f>Rate_Data!$H$2</f>
        <v>6.36</v>
      </c>
    </row>
    <row r="44" spans="17:19" x14ac:dyDescent="0.25">
      <c r="Q44">
        <v>2013</v>
      </c>
      <c r="R44">
        <f>SUMIFS(Rate_Data!$B:$B,Rate_Data!$D:$D,Q44)/COUNTIFS(Rate_Data!$D:$D,Q44)</f>
        <v>3.9755769230769222</v>
      </c>
      <c r="S44">
        <f>Rate_Data!$H$2</f>
        <v>6.36</v>
      </c>
    </row>
    <row r="45" spans="17:19" x14ac:dyDescent="0.25">
      <c r="Q45">
        <v>2014</v>
      </c>
      <c r="R45">
        <f>SUMIFS(Rate_Data!$B:$B,Rate_Data!$D:$D,Q45)/COUNTIFS(Rate_Data!$D:$D,Q45)</f>
        <v>4.1688679245283016</v>
      </c>
      <c r="S45">
        <f>Rate_Data!$H$2</f>
        <v>6.36</v>
      </c>
    </row>
    <row r="46" spans="17:19" x14ac:dyDescent="0.25">
      <c r="Q46">
        <v>2015</v>
      </c>
      <c r="R46">
        <f>SUMIFS(Rate_Data!$B:$B,Rate_Data!$D:$D,Q46)/COUNTIFS(Rate_Data!$D:$D,Q46)</f>
        <v>3.8505769230769222</v>
      </c>
      <c r="S46">
        <f>Rate_Data!$H$2</f>
        <v>6.36</v>
      </c>
    </row>
    <row r="47" spans="17:19" x14ac:dyDescent="0.25">
      <c r="Q47">
        <v>2016</v>
      </c>
      <c r="R47">
        <f>SUMIFS(Rate_Data!$B:$B,Rate_Data!$D:$D,Q47)/COUNTIFS(Rate_Data!$D:$D,Q47)</f>
        <v>3.6540384615384616</v>
      </c>
      <c r="S47">
        <f>Rate_Data!$H$2</f>
        <v>6.36</v>
      </c>
    </row>
    <row r="48" spans="17:19" x14ac:dyDescent="0.25">
      <c r="Q48">
        <v>2017</v>
      </c>
      <c r="R48">
        <f>SUMIFS(Rate_Data!$B:$B,Rate_Data!$D:$D,Q48)/COUNTIFS(Rate_Data!$D:$D,Q48)</f>
        <v>3.9898076923076924</v>
      </c>
      <c r="S48">
        <f>Rate_Data!$H$2</f>
        <v>6.36</v>
      </c>
    </row>
    <row r="49" spans="1:19" x14ac:dyDescent="0.25">
      <c r="Q49">
        <v>2018</v>
      </c>
      <c r="R49">
        <f>SUMIFS(Rate_Data!$B:$B,Rate_Data!$D:$D,Q49)/COUNTIFS(Rate_Data!$D:$D,Q49)</f>
        <v>4.5446153846153852</v>
      </c>
      <c r="S49">
        <f>Rate_Data!$H$2</f>
        <v>6.36</v>
      </c>
    </row>
    <row r="50" spans="1:19" x14ac:dyDescent="0.25">
      <c r="Q50">
        <v>2019</v>
      </c>
      <c r="R50">
        <f>SUMIFS(Rate_Data!$B:$B,Rate_Data!$D:$D,Q50)/COUNTIFS(Rate_Data!$D:$D,Q50)</f>
        <v>3.9357692307692309</v>
      </c>
      <c r="S50">
        <f>Rate_Data!$H$2</f>
        <v>6.36</v>
      </c>
    </row>
    <row r="51" spans="1:19" ht="15.75" x14ac:dyDescent="0.25">
      <c r="A51" s="59" t="s">
        <v>192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>
        <v>2020</v>
      </c>
      <c r="R51">
        <f>SUMIFS(Rate_Data!$B:$B,Rate_Data!$D:$D,Q51)/COUNTIFS(Rate_Data!$D:$D,Q51)</f>
        <v>3.111698113207547</v>
      </c>
      <c r="S51">
        <f>Rate_Data!$H$2</f>
        <v>6.36</v>
      </c>
    </row>
    <row r="52" spans="1:19" ht="15" customHeight="1" x14ac:dyDescent="0.25">
      <c r="A52" s="48" t="s">
        <v>206</v>
      </c>
      <c r="B52" s="4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58"/>
      <c r="N52" s="58"/>
      <c r="O52" s="58"/>
      <c r="P52" s="58"/>
      <c r="Q52">
        <v>2021</v>
      </c>
      <c r="R52">
        <f>SUMIFS(Rate_Data!$B:$B,Rate_Data!$D:$D,Q52)/COUNTIFS(Rate_Data!$D:$D,Q52)</f>
        <v>2.9576923076923078</v>
      </c>
      <c r="S52">
        <f>Rate_Data!$H$2</f>
        <v>6.36</v>
      </c>
    </row>
    <row r="53" spans="1:19" ht="264" customHeight="1" thickBot="1" x14ac:dyDescent="0.3">
      <c r="A53" s="50" t="s">
        <v>207</v>
      </c>
      <c r="B53" s="57" t="s">
        <v>208</v>
      </c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>
        <v>2022</v>
      </c>
      <c r="R53">
        <f>SUMIFS(Rate_Data!$B:$B,Rate_Data!$D:$D,Q53)/COUNTIFS(Rate_Data!$D:$D,Q53)</f>
        <v>5.344038461538462</v>
      </c>
      <c r="S53">
        <f>Rate_Data!$H$2</f>
        <v>6.36</v>
      </c>
    </row>
    <row r="54" spans="1:19" ht="237.6" customHeight="1" thickTop="1" thickBot="1" x14ac:dyDescent="0.3">
      <c r="A54" s="51" t="s">
        <v>209</v>
      </c>
      <c r="B54" s="57" t="s">
        <v>210</v>
      </c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>
        <v>2023</v>
      </c>
      <c r="R54">
        <f>SUMIFS(Rate_Data!$B:$B,Rate_Data!$D:$D,Q54)/COUNTIFS(Rate_Data!$D:$D,Q54)</f>
        <v>6.8067307692307697</v>
      </c>
      <c r="S54">
        <f>Rate_Data!$H$2</f>
        <v>6.36</v>
      </c>
    </row>
    <row r="55" spans="1:19" ht="198" customHeight="1" thickTop="1" thickBot="1" x14ac:dyDescent="0.3">
      <c r="A55" s="51" t="s">
        <v>211</v>
      </c>
      <c r="B55" s="55" t="s">
        <v>212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>
        <v>2024</v>
      </c>
      <c r="R55">
        <f>SUMIFS(Rate_Data!$B:$B,Rate_Data!$D:$D,Q55)/COUNTIFS(Rate_Data!$D:$D,Q55)</f>
        <v>6.7211538461538476</v>
      </c>
      <c r="S55">
        <f>Rate_Data!$H$2</f>
        <v>6.36</v>
      </c>
    </row>
    <row r="56" spans="1:19" ht="224.45" customHeight="1" thickTop="1" thickBot="1" x14ac:dyDescent="0.3">
      <c r="A56" s="50" t="s">
        <v>213</v>
      </c>
      <c r="B56" s="55" t="s">
        <v>214</v>
      </c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>
        <v>2025</v>
      </c>
      <c r="R56">
        <f>SUMIFS(Rate_Data!$B:$B,Rate_Data!$D:$D,Q56)/COUNTIFS(Rate_Data!$D:$D,Q56)</f>
        <v>6.5950943396226434</v>
      </c>
      <c r="S56">
        <f>Rate_Data!$H$2</f>
        <v>6.36</v>
      </c>
    </row>
    <row r="57" spans="1:19" ht="237.6" customHeight="1" thickTop="1" thickBot="1" x14ac:dyDescent="0.3">
      <c r="A57" s="50" t="s">
        <v>215</v>
      </c>
      <c r="B57" s="55" t="s">
        <v>216</v>
      </c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>
        <v>2026</v>
      </c>
      <c r="R57">
        <f>SUMIFS(Rate_Data!$B:$B,Rate_Data!$D:$D,Q57)/COUNTIFS(Rate_Data!$D:$D,Q57)</f>
        <v>6.1947368421052627</v>
      </c>
      <c r="S57">
        <f>Rate_Data!$H$2</f>
        <v>6.36</v>
      </c>
    </row>
    <row r="58" spans="1:19" ht="15.75" thickTop="1" x14ac:dyDescent="0.25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</row>
    <row r="59" spans="1:19" x14ac:dyDescent="0.25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</row>
    <row r="60" spans="1:19" x14ac:dyDescent="0.25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</row>
    <row r="61" spans="1:19" x14ac:dyDescent="0.25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</row>
    <row r="62" spans="1:19" x14ac:dyDescent="0.25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</row>
  </sheetData>
  <mergeCells count="25">
    <mergeCell ref="J5:L7"/>
    <mergeCell ref="M5:P7"/>
    <mergeCell ref="M4:P4"/>
    <mergeCell ref="M8:P8"/>
    <mergeCell ref="A51:P51"/>
    <mergeCell ref="B56:P56"/>
    <mergeCell ref="B54:P54"/>
    <mergeCell ref="A1:P1"/>
    <mergeCell ref="D8:F8"/>
    <mergeCell ref="A8:C8"/>
    <mergeCell ref="D4:F4"/>
    <mergeCell ref="A4:C4"/>
    <mergeCell ref="A5:C7"/>
    <mergeCell ref="M9:P10"/>
    <mergeCell ref="G8:I8"/>
    <mergeCell ref="G4:I4"/>
    <mergeCell ref="D5:F7"/>
    <mergeCell ref="J4:L4"/>
    <mergeCell ref="J8:L8"/>
    <mergeCell ref="G5:I7"/>
    <mergeCell ref="B57:P57"/>
    <mergeCell ref="A58:Q62"/>
    <mergeCell ref="B55:P55"/>
    <mergeCell ref="B53:P53"/>
    <mergeCell ref="M52:P52"/>
  </mergeCells>
  <conditionalFormatting sqref="B57">
    <cfRule type="expression" dxfId="11" priority="4">
      <formula>B57="Refinance Makes Sense"</formula>
    </cfRule>
    <cfRule type="expression" dxfId="10" priority="5">
      <formula>ISNUMBER(SEARCH("Does Not Break Even",B57))</formula>
    </cfRule>
    <cfRule type="expression" dxfId="9" priority="6">
      <formula>ISNUMBER(SEARCH("No Savings",B57))</formula>
    </cfRule>
    <cfRule type="expression" dxfId="8" priority="10">
      <formula>B57="Refinance Makes Sense"</formula>
    </cfRule>
    <cfRule type="expression" dxfId="7" priority="11">
      <formula>ISNUMBER(SEARCH("Does Not Break Even",B57))</formula>
    </cfRule>
    <cfRule type="expression" dxfId="6" priority="12">
      <formula>ISNUMBER(SEARCH("No Savings",B57))</formula>
    </cfRule>
  </conditionalFormatting>
  <conditionalFormatting sqref="M9">
    <cfRule type="expression" dxfId="5" priority="1">
      <formula>M9="Refinance Makes Sense"</formula>
    </cfRule>
    <cfRule type="expression" dxfId="4" priority="2">
      <formula>ISNUMBER(SEARCH("Does Not Break Even",M9))</formula>
    </cfRule>
    <cfRule type="expression" dxfId="3" priority="3">
      <formula>ISNUMBER(SEARCH("No Savings",M9))</formula>
    </cfRule>
    <cfRule type="expression" dxfId="2" priority="7">
      <formula>M9="Refinance Makes Sense"</formula>
    </cfRule>
    <cfRule type="expression" dxfId="1" priority="8">
      <formula>ISNUMBER(SEARCH("Does Not Break Even",M9))</formula>
    </cfRule>
    <cfRule type="expression" dxfId="0" priority="9">
      <formula>ISNUMBER(SEARCH("No Savings",M9))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29</vt:i4>
      </vt:variant>
    </vt:vector>
  </HeadingPairs>
  <TitlesOfParts>
    <vt:vector size="36" baseType="lpstr">
      <vt:lpstr>Project_Map</vt:lpstr>
      <vt:lpstr>Rate_Data</vt:lpstr>
      <vt:lpstr>Assumptions</vt:lpstr>
      <vt:lpstr>Rate_Shock_Model</vt:lpstr>
      <vt:lpstr>Amortization_Schedule</vt:lpstr>
      <vt:lpstr>Refinance_Analysis</vt:lpstr>
      <vt:lpstr>Dashboard</vt:lpstr>
      <vt:lpstr>Amort_TotalInterest</vt:lpstr>
      <vt:lpstr>Amort_TotalPayments</vt:lpstr>
      <vt:lpstr>Amort_TotalPrincipal</vt:lpstr>
      <vt:lpstr>Assump_BaseRate</vt:lpstr>
      <vt:lpstr>Assump_Budget</vt:lpstr>
      <vt:lpstr>Assump_ClosingCosts</vt:lpstr>
      <vt:lpstr>Assump_CurrRate</vt:lpstr>
      <vt:lpstr>Assump_DPPct</vt:lpstr>
      <vt:lpstr>Assump_HoldPeriod</vt:lpstr>
      <vt:lpstr>Assump_HomePrice</vt:lpstr>
      <vt:lpstr>Assump_LoanAmt</vt:lpstr>
      <vt:lpstr>Assump_PropRate</vt:lpstr>
      <vt:lpstr>Assump_RemBal</vt:lpstr>
      <vt:lpstr>Assump_RemTerm</vt:lpstr>
      <vt:lpstr>Assump_TermMos</vt:lpstr>
      <vt:lpstr>Assump_TermYrs</vt:lpstr>
      <vt:lpstr>LatestRate</vt:lpstr>
      <vt:lpstr>Refi_BreakEvenMos</vt:lpstr>
      <vt:lpstr>Refi_CurrPayment</vt:lpstr>
      <vt:lpstr>Refi_DecisionFlag</vt:lpstr>
      <vt:lpstr>Refi_MonthlySavings</vt:lpstr>
      <vt:lpstr>Refi_NewPayment</vt:lpstr>
      <vt:lpstr>RSM_Affordable</vt:lpstr>
      <vt:lpstr>RSM_BaseAffordable</vt:lpstr>
      <vt:lpstr>RSM_BasePayment</vt:lpstr>
      <vt:lpstr>RSM_BaseTotalInterest</vt:lpstr>
      <vt:lpstr>RSM_Labels</vt:lpstr>
      <vt:lpstr>RSM_Payments</vt:lpstr>
      <vt:lpstr>RSM_TotalInterest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 Wept</cp:lastModifiedBy>
  <dcterms:created xsi:type="dcterms:W3CDTF">2026-05-22T23:35:28Z</dcterms:created>
  <dcterms:modified xsi:type="dcterms:W3CDTF">2026-05-24T10:57:28Z</dcterms:modified>
</cp:coreProperties>
</file>